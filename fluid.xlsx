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0183A7-2C25-4F45-B213-9C6F191ADEE7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All" sheetId="1" r:id="rId1"/>
    <sheet name="Updates - Excel File" sheetId="2" r:id="rId2"/>
    <sheet name="Updates - Power Bi Dashboard" sheetId="3" r:id="rId3"/>
  </sheets>
  <definedNames>
    <definedName name="_xlnm._FilterDatabase" localSheetId="0" hidden="1">All!$A$1:$X$160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1" l="1"/>
  <c r="U13" i="1"/>
  <c r="U14" i="1"/>
  <c r="U21" i="1"/>
  <c r="U22" i="1"/>
  <c r="U29" i="1"/>
  <c r="U30" i="1"/>
  <c r="U37" i="1"/>
  <c r="U38" i="1"/>
  <c r="U45" i="1"/>
  <c r="U46" i="1"/>
  <c r="U53" i="1"/>
  <c r="U54" i="1"/>
  <c r="U61" i="1"/>
  <c r="U62" i="1"/>
  <c r="U69" i="1"/>
  <c r="U70" i="1"/>
  <c r="U77" i="1"/>
  <c r="U78" i="1"/>
  <c r="U85" i="1"/>
  <c r="U86" i="1"/>
  <c r="U93" i="1"/>
  <c r="U94" i="1"/>
  <c r="U101" i="1"/>
  <c r="U102" i="1"/>
  <c r="U109" i="1"/>
  <c r="U110" i="1"/>
  <c r="U117" i="1"/>
  <c r="U118" i="1"/>
  <c r="U125" i="1"/>
  <c r="U126" i="1"/>
  <c r="U133" i="1"/>
  <c r="U134" i="1"/>
  <c r="U141" i="1"/>
  <c r="U142" i="1"/>
  <c r="U149" i="1"/>
  <c r="U150" i="1"/>
  <c r="U157" i="1"/>
  <c r="U158" i="1"/>
  <c r="Q3" i="1"/>
  <c r="U4" i="1" s="1"/>
  <c r="Q4" i="1"/>
  <c r="Q5" i="1"/>
  <c r="U6" i="1" s="1"/>
  <c r="Q6" i="1"/>
  <c r="U7" i="1" s="1"/>
  <c r="Q7" i="1"/>
  <c r="U8" i="1" s="1"/>
  <c r="Q8" i="1"/>
  <c r="U9" i="1" s="1"/>
  <c r="Q9" i="1"/>
  <c r="U10" i="1" s="1"/>
  <c r="Q10" i="1"/>
  <c r="U11" i="1" s="1"/>
  <c r="Q11" i="1"/>
  <c r="U12" i="1" s="1"/>
  <c r="Q12" i="1"/>
  <c r="Q13" i="1"/>
  <c r="Q14" i="1"/>
  <c r="U15" i="1" s="1"/>
  <c r="Q15" i="1"/>
  <c r="U16" i="1" s="1"/>
  <c r="Q16" i="1"/>
  <c r="U17" i="1" s="1"/>
  <c r="Q17" i="1"/>
  <c r="U18" i="1" s="1"/>
  <c r="Q18" i="1"/>
  <c r="U19" i="1" s="1"/>
  <c r="Q19" i="1"/>
  <c r="U20" i="1" s="1"/>
  <c r="Q20" i="1"/>
  <c r="Q21" i="1"/>
  <c r="Q22" i="1"/>
  <c r="U23" i="1" s="1"/>
  <c r="Q23" i="1"/>
  <c r="U24" i="1" s="1"/>
  <c r="Q24" i="1"/>
  <c r="U25" i="1" s="1"/>
  <c r="Q25" i="1"/>
  <c r="U26" i="1" s="1"/>
  <c r="Q26" i="1"/>
  <c r="U27" i="1" s="1"/>
  <c r="Q27" i="1"/>
  <c r="U28" i="1" s="1"/>
  <c r="Q28" i="1"/>
  <c r="Q29" i="1"/>
  <c r="Q30" i="1"/>
  <c r="U31" i="1" s="1"/>
  <c r="Q31" i="1"/>
  <c r="U32" i="1" s="1"/>
  <c r="Q32" i="1"/>
  <c r="U33" i="1" s="1"/>
  <c r="Q33" i="1"/>
  <c r="U34" i="1" s="1"/>
  <c r="Q34" i="1"/>
  <c r="U35" i="1" s="1"/>
  <c r="Q35" i="1"/>
  <c r="U36" i="1" s="1"/>
  <c r="Q36" i="1"/>
  <c r="Q37" i="1"/>
  <c r="Q38" i="1"/>
  <c r="U39" i="1" s="1"/>
  <c r="Q39" i="1"/>
  <c r="U40" i="1" s="1"/>
  <c r="Q40" i="1"/>
  <c r="U41" i="1" s="1"/>
  <c r="Q41" i="1"/>
  <c r="U42" i="1" s="1"/>
  <c r="Q42" i="1"/>
  <c r="U43" i="1" s="1"/>
  <c r="Q43" i="1"/>
  <c r="U44" i="1" s="1"/>
  <c r="Q44" i="1"/>
  <c r="Q45" i="1"/>
  <c r="Q46" i="1"/>
  <c r="U47" i="1" s="1"/>
  <c r="Q47" i="1"/>
  <c r="U48" i="1" s="1"/>
  <c r="Q48" i="1"/>
  <c r="U49" i="1" s="1"/>
  <c r="Q49" i="1"/>
  <c r="U50" i="1" s="1"/>
  <c r="Q50" i="1"/>
  <c r="U51" i="1" s="1"/>
  <c r="Q51" i="1"/>
  <c r="U52" i="1" s="1"/>
  <c r="Q52" i="1"/>
  <c r="Q53" i="1"/>
  <c r="Q54" i="1"/>
  <c r="U55" i="1" s="1"/>
  <c r="Q55" i="1"/>
  <c r="U56" i="1" s="1"/>
  <c r="Q56" i="1"/>
  <c r="U57" i="1" s="1"/>
  <c r="Q57" i="1"/>
  <c r="U58" i="1" s="1"/>
  <c r="Q58" i="1"/>
  <c r="U59" i="1" s="1"/>
  <c r="Q59" i="1"/>
  <c r="U60" i="1" s="1"/>
  <c r="Q60" i="1"/>
  <c r="Q61" i="1"/>
  <c r="Q62" i="1"/>
  <c r="U63" i="1" s="1"/>
  <c r="Q63" i="1"/>
  <c r="U64" i="1" s="1"/>
  <c r="Q64" i="1"/>
  <c r="U65" i="1" s="1"/>
  <c r="Q65" i="1"/>
  <c r="U66" i="1" s="1"/>
  <c r="Q66" i="1"/>
  <c r="U67" i="1" s="1"/>
  <c r="Q67" i="1"/>
  <c r="U68" i="1" s="1"/>
  <c r="Q68" i="1"/>
  <c r="Q69" i="1"/>
  <c r="Q70" i="1"/>
  <c r="U71" i="1" s="1"/>
  <c r="Q71" i="1"/>
  <c r="U72" i="1" s="1"/>
  <c r="Q72" i="1"/>
  <c r="U73" i="1" s="1"/>
  <c r="Q73" i="1"/>
  <c r="U74" i="1" s="1"/>
  <c r="Q74" i="1"/>
  <c r="U75" i="1" s="1"/>
  <c r="Q75" i="1"/>
  <c r="U76" i="1" s="1"/>
  <c r="Q76" i="1"/>
  <c r="Q77" i="1"/>
  <c r="Q78" i="1"/>
  <c r="U79" i="1" s="1"/>
  <c r="Q79" i="1"/>
  <c r="U80" i="1" s="1"/>
  <c r="Q80" i="1"/>
  <c r="U81" i="1" s="1"/>
  <c r="Q81" i="1"/>
  <c r="U82" i="1" s="1"/>
  <c r="Q82" i="1"/>
  <c r="U83" i="1" s="1"/>
  <c r="Q83" i="1"/>
  <c r="U84" i="1" s="1"/>
  <c r="Q84" i="1"/>
  <c r="Q85" i="1"/>
  <c r="Q86" i="1"/>
  <c r="U87" i="1" s="1"/>
  <c r="Q87" i="1"/>
  <c r="U88" i="1" s="1"/>
  <c r="Q88" i="1"/>
  <c r="U89" i="1" s="1"/>
  <c r="Q89" i="1"/>
  <c r="U90" i="1" s="1"/>
  <c r="Q90" i="1"/>
  <c r="U91" i="1" s="1"/>
  <c r="Q91" i="1"/>
  <c r="U92" i="1" s="1"/>
  <c r="Q92" i="1"/>
  <c r="Q93" i="1"/>
  <c r="Q94" i="1"/>
  <c r="U95" i="1" s="1"/>
  <c r="Q95" i="1"/>
  <c r="U96" i="1" s="1"/>
  <c r="Q96" i="1"/>
  <c r="U97" i="1" s="1"/>
  <c r="Q97" i="1"/>
  <c r="U98" i="1" s="1"/>
  <c r="Q98" i="1"/>
  <c r="U99" i="1" s="1"/>
  <c r="Q99" i="1"/>
  <c r="U100" i="1" s="1"/>
  <c r="Q100" i="1"/>
  <c r="Q101" i="1"/>
  <c r="Q102" i="1"/>
  <c r="U103" i="1" s="1"/>
  <c r="Q103" i="1"/>
  <c r="U104" i="1" s="1"/>
  <c r="Q104" i="1"/>
  <c r="U105" i="1" s="1"/>
  <c r="Q105" i="1"/>
  <c r="U106" i="1" s="1"/>
  <c r="Q106" i="1"/>
  <c r="U107" i="1" s="1"/>
  <c r="Q107" i="1"/>
  <c r="U108" i="1" s="1"/>
  <c r="Q108" i="1"/>
  <c r="Q109" i="1"/>
  <c r="Q110" i="1"/>
  <c r="U111" i="1" s="1"/>
  <c r="Q111" i="1"/>
  <c r="U112" i="1" s="1"/>
  <c r="Q112" i="1"/>
  <c r="U113" i="1" s="1"/>
  <c r="Q113" i="1"/>
  <c r="U114" i="1" s="1"/>
  <c r="Q114" i="1"/>
  <c r="U115" i="1" s="1"/>
  <c r="Q115" i="1"/>
  <c r="U116" i="1" s="1"/>
  <c r="Q116" i="1"/>
  <c r="Q117" i="1"/>
  <c r="Q118" i="1"/>
  <c r="U119" i="1" s="1"/>
  <c r="Q119" i="1"/>
  <c r="U120" i="1" s="1"/>
  <c r="Q120" i="1"/>
  <c r="U121" i="1" s="1"/>
  <c r="Q121" i="1"/>
  <c r="U122" i="1" s="1"/>
  <c r="Q122" i="1"/>
  <c r="U123" i="1" s="1"/>
  <c r="Q123" i="1"/>
  <c r="U124" i="1" s="1"/>
  <c r="Q124" i="1"/>
  <c r="Q125" i="1"/>
  <c r="Q126" i="1"/>
  <c r="U127" i="1" s="1"/>
  <c r="Q127" i="1"/>
  <c r="U128" i="1" s="1"/>
  <c r="Q128" i="1"/>
  <c r="U129" i="1" s="1"/>
  <c r="Q129" i="1"/>
  <c r="U130" i="1" s="1"/>
  <c r="Q130" i="1"/>
  <c r="U131" i="1" s="1"/>
  <c r="Q131" i="1"/>
  <c r="U132" i="1" s="1"/>
  <c r="Q132" i="1"/>
  <c r="Q133" i="1"/>
  <c r="Q134" i="1"/>
  <c r="U135" i="1" s="1"/>
  <c r="Q135" i="1"/>
  <c r="U136" i="1" s="1"/>
  <c r="Q136" i="1"/>
  <c r="U137" i="1" s="1"/>
  <c r="Q137" i="1"/>
  <c r="U138" i="1" s="1"/>
  <c r="Q138" i="1"/>
  <c r="U139" i="1" s="1"/>
  <c r="Q139" i="1"/>
  <c r="U140" i="1" s="1"/>
  <c r="Q140" i="1"/>
  <c r="Q141" i="1"/>
  <c r="Q142" i="1"/>
  <c r="U143" i="1" s="1"/>
  <c r="Q143" i="1"/>
  <c r="U144" i="1" s="1"/>
  <c r="Q144" i="1"/>
  <c r="U145" i="1" s="1"/>
  <c r="Q145" i="1"/>
  <c r="U146" i="1" s="1"/>
  <c r="Q146" i="1"/>
  <c r="U147" i="1" s="1"/>
  <c r="Q147" i="1"/>
  <c r="U148" i="1" s="1"/>
  <c r="Q148" i="1"/>
  <c r="Q149" i="1"/>
  <c r="Q150" i="1"/>
  <c r="U151" i="1" s="1"/>
  <c r="Q151" i="1"/>
  <c r="U152" i="1" s="1"/>
  <c r="Q152" i="1"/>
  <c r="U153" i="1" s="1"/>
  <c r="Q153" i="1"/>
  <c r="U154" i="1" s="1"/>
  <c r="Q154" i="1"/>
  <c r="U155" i="1" s="1"/>
  <c r="Q155" i="1"/>
  <c r="U156" i="1" s="1"/>
  <c r="Q156" i="1"/>
  <c r="Q157" i="1"/>
  <c r="Q158" i="1"/>
  <c r="U159" i="1" s="1"/>
  <c r="Q159" i="1"/>
  <c r="U160" i="1" s="1"/>
  <c r="Q160" i="1"/>
  <c r="Q2" i="1"/>
  <c r="U3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1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3" i="1"/>
  <c r="C2" i="1"/>
  <c r="U2" i="1" l="1"/>
  <c r="J42" i="1"/>
</calcChain>
</file>

<file path=xl/sharedStrings.xml><?xml version="1.0" encoding="utf-8"?>
<sst xmlns="http://schemas.openxmlformats.org/spreadsheetml/2006/main" count="1651" uniqueCount="719">
  <si>
    <t xml:space="preserve">All </t>
  </si>
  <si>
    <t>Fittings</t>
  </si>
  <si>
    <t>Develop clamps for Alstom</t>
  </si>
  <si>
    <t>Clamps for Alstom</t>
  </si>
  <si>
    <t>1020CLAMP01</t>
  </si>
  <si>
    <t>Krishna &amp; Atul</t>
  </si>
  <si>
    <t>1920FITTINGE25</t>
  </si>
  <si>
    <t>FCPL</t>
  </si>
  <si>
    <t>Valve</t>
  </si>
  <si>
    <t>1920VALVE45</t>
  </si>
  <si>
    <t>Differential Pressure Control valve(DPCV)</t>
  </si>
  <si>
    <t>1920VALVE42</t>
  </si>
  <si>
    <t>Gate valve</t>
  </si>
  <si>
    <t>1920VALVE41</t>
  </si>
  <si>
    <t>Butterfly valve</t>
  </si>
  <si>
    <t>1920VALVE40</t>
  </si>
  <si>
    <t>Solenoid Valve</t>
  </si>
  <si>
    <t>1920VALVE39</t>
  </si>
  <si>
    <t>Diaphragm Valves</t>
  </si>
  <si>
    <t>1920VALVE38</t>
  </si>
  <si>
    <t xml:space="preserve">GE design </t>
  </si>
  <si>
    <t>1920VALVE37</t>
  </si>
  <si>
    <t>Railway Angle cock valve</t>
  </si>
  <si>
    <t>1920VALVE36</t>
  </si>
  <si>
    <t>Railway Horn</t>
  </si>
  <si>
    <t>1920VALVE35</t>
  </si>
  <si>
    <t>Globe 150 with Actuation</t>
  </si>
  <si>
    <t>1920VALVE34</t>
  </si>
  <si>
    <t>1920VALVE32</t>
  </si>
  <si>
    <t>As per Hydac-1/4"to 2"</t>
  </si>
  <si>
    <t>1920VALVE31</t>
  </si>
  <si>
    <t>1920VALVE29</t>
  </si>
  <si>
    <t>Design as per API 6D</t>
  </si>
  <si>
    <t xml:space="preserve">DBB All Size </t>
  </si>
  <si>
    <t>1920VALVE28</t>
  </si>
  <si>
    <t>1920VALVE26</t>
  </si>
  <si>
    <t>As per Fevely Drawing</t>
  </si>
  <si>
    <t>1920VALVE25</t>
  </si>
  <si>
    <t>1920VALVE23</t>
  </si>
  <si>
    <t>1920VALVE22</t>
  </si>
  <si>
    <t>1920VALVE21</t>
  </si>
  <si>
    <t>1920VALVE20</t>
  </si>
  <si>
    <t>1920VALVE19</t>
  </si>
  <si>
    <t>1920VALVE18</t>
  </si>
  <si>
    <t>1920VALVE17</t>
  </si>
  <si>
    <t>1920VALVE16</t>
  </si>
  <si>
    <t>1920VALVE15</t>
  </si>
  <si>
    <t xml:space="preserve">FCPL </t>
  </si>
  <si>
    <t>1920VALVE01</t>
  </si>
  <si>
    <t>Services</t>
  </si>
  <si>
    <t>1920FITTINGE23</t>
  </si>
  <si>
    <t>Fittings For Aerospace Application</t>
  </si>
  <si>
    <t>1920FITTINGE21</t>
  </si>
  <si>
    <t>Stortz Coupling</t>
  </si>
  <si>
    <t>1920FITTINGE20</t>
  </si>
  <si>
    <t>1920FITTINGE19</t>
  </si>
  <si>
    <t>1920FITTINGE18</t>
  </si>
  <si>
    <t>Dielectric fittings</t>
  </si>
  <si>
    <t>1920FITTINGE17</t>
  </si>
  <si>
    <t>Oxy clean Certification For Fittings</t>
  </si>
  <si>
    <t>Pharma Fitting/Ultra pure fittings, ISO 2037</t>
  </si>
  <si>
    <t>1920FITTINGE16</t>
  </si>
  <si>
    <t>Nut Bolts as per RDSO Specification0- TO Buy  &amp; Trade.</t>
  </si>
  <si>
    <t>1920FITTINGE15</t>
  </si>
  <si>
    <t>FAI &amp; Overall</t>
  </si>
  <si>
    <t>1920FITTINGE14</t>
  </si>
  <si>
    <t>1920FITTINGE13</t>
  </si>
  <si>
    <t>Hose Fittings- 6 sections</t>
  </si>
  <si>
    <t>1920FITTINGE12</t>
  </si>
  <si>
    <t>1920FITTINGE11</t>
  </si>
  <si>
    <t xml:space="preserve">O live ferrules Series </t>
  </si>
  <si>
    <t>Air Brake Fittings - NTA</t>
  </si>
  <si>
    <t>1920FITTINGE10</t>
  </si>
  <si>
    <t>1920FITTINGE09</t>
  </si>
  <si>
    <t>Certification of Cryogenic for fittings</t>
  </si>
  <si>
    <t>Cryogenic fittings CAE validation</t>
  </si>
  <si>
    <t>1920FITTINGE08</t>
  </si>
  <si>
    <t>1920FITTINGE07</t>
  </si>
  <si>
    <t>Validation Trial &amp; Certification</t>
  </si>
  <si>
    <t>CPI remapping - F1387</t>
  </si>
  <si>
    <t>1920FITTINGE06</t>
  </si>
  <si>
    <t>Testing for Burst and then revalidate</t>
  </si>
  <si>
    <t>1920FITTINGE05</t>
  </si>
  <si>
    <t>1920FITTINGE04</t>
  </si>
  <si>
    <t>1920FITTINGE03</t>
  </si>
  <si>
    <t>1920FITTINGE02</t>
  </si>
  <si>
    <t>1920FITTINGE01</t>
  </si>
  <si>
    <t>1920SERVICES07</t>
  </si>
  <si>
    <t>Railway Break Stand Manifold- BEML</t>
  </si>
  <si>
    <t>1920VLAVE20</t>
  </si>
  <si>
    <t>1920SERVICES03</t>
  </si>
  <si>
    <t>As &amp; when needed</t>
  </si>
  <si>
    <t>Skids (pharma, Tube Bending, Pre Engineered Assemblies)</t>
  </si>
  <si>
    <t>1920SERVICES02</t>
  </si>
  <si>
    <t>Certification</t>
  </si>
  <si>
    <t>AAR Certification</t>
  </si>
  <si>
    <t>1920CERT01</t>
  </si>
  <si>
    <t>TARGET DATE</t>
  </si>
  <si>
    <t>DATE OF START</t>
  </si>
  <si>
    <t>PROJECT OWNER</t>
  </si>
  <si>
    <t>Customer Name</t>
  </si>
  <si>
    <t>Enquiry Number</t>
  </si>
  <si>
    <t>Scope Of Development</t>
  </si>
  <si>
    <t>Product Catogory</t>
  </si>
  <si>
    <t xml:space="preserve"> Title of Project</t>
  </si>
  <si>
    <t>M.S.N</t>
  </si>
  <si>
    <t>System Certification</t>
  </si>
  <si>
    <t>NA</t>
  </si>
  <si>
    <t>Aerospace</t>
  </si>
  <si>
    <t>Not Assigned</t>
  </si>
  <si>
    <t>As needed</t>
  </si>
  <si>
    <t>Pravin P</t>
  </si>
  <si>
    <t>Krishna</t>
  </si>
  <si>
    <t>1920FITTINGE24</t>
  </si>
  <si>
    <t>1020ALL01</t>
  </si>
  <si>
    <t>102HOSE01</t>
  </si>
  <si>
    <t>Hoses</t>
  </si>
  <si>
    <t>As per Customer Drg</t>
  </si>
  <si>
    <t>Double Check Valve 3/8 Inch</t>
  </si>
  <si>
    <t>Latched Isolating Cock 1-1/4" NON VENTED</t>
  </si>
  <si>
    <t>Latched Isolating Cock 1-1/4" VENTED</t>
  </si>
  <si>
    <t>Isolating Cock OLP 1-1/4"</t>
  </si>
  <si>
    <t>Isolating Cock CLP 1-1/4"</t>
  </si>
  <si>
    <t>Isolating Cock 1-1/4" VENTED</t>
  </si>
  <si>
    <t>Check Valve (NRV) Spring Design</t>
  </si>
  <si>
    <t>Wallform- Hydac</t>
  </si>
  <si>
    <t>Legris Type Valve - Define Fatigue Life (Operation life)- Target 10 L Cycles</t>
  </si>
  <si>
    <t>As per Faiveley Drawing-A30020005</t>
  </si>
  <si>
    <t>Double Check Valve 3/4" BSP</t>
  </si>
  <si>
    <t>As per Faiveley Drawing A4 002 0610</t>
  </si>
  <si>
    <t>1", 1 1/4" CUT OFF ANGLE COCK WITH VENT (Floating ball valve)</t>
  </si>
  <si>
    <t>As per Faiveley Drawing - 02 607 0475</t>
  </si>
  <si>
    <t>Ball Valves-GE 41 line items</t>
  </si>
  <si>
    <t>Actuator Mountings Globe Valve-NB 150</t>
  </si>
  <si>
    <t>1920VALVE43</t>
  </si>
  <si>
    <t>Electrical Ball Valve DN7, DH15,DN25</t>
  </si>
  <si>
    <t xml:space="preserve">As per GE </t>
  </si>
  <si>
    <t>1920VALVE44</t>
  </si>
  <si>
    <t>Actuated Ball Valve</t>
  </si>
  <si>
    <t>Domestic Enquiry (Sumprimo)</t>
  </si>
  <si>
    <t>1920VALVE61</t>
  </si>
  <si>
    <t>ISOLATING COCK R1" WITHOUT VENT</t>
  </si>
  <si>
    <r>
      <t>As per Escorts drawing-3KB 167</t>
    </r>
    <r>
      <rPr>
        <b/>
        <sz val="11"/>
        <rFont val="Calibri"/>
        <family val="2"/>
      </rPr>
      <t xml:space="preserve"> --</t>
    </r>
  </si>
  <si>
    <t>1920VALVE62</t>
  </si>
  <si>
    <t>As per Escorts drawing-3KB 572</t>
  </si>
  <si>
    <t>1920VALVE64</t>
  </si>
  <si>
    <t>GE Versa Valve</t>
  </si>
  <si>
    <t>Design Approval form GE and Sample validation per GE specification</t>
  </si>
  <si>
    <t>Legris Sheet Type A &amp; B -21 line items in Brass &amp; CS</t>
  </si>
  <si>
    <t>Smaple for Exibition</t>
  </si>
  <si>
    <t>Sales</t>
  </si>
  <si>
    <t>1920VALVE66</t>
  </si>
  <si>
    <t>Major/ Customer Specific</t>
  </si>
  <si>
    <t>Major</t>
  </si>
  <si>
    <t>Customer Specific</t>
  </si>
  <si>
    <t>Status</t>
  </si>
  <si>
    <t>On Hold</t>
  </si>
  <si>
    <t>Ongoing</t>
  </si>
  <si>
    <t>On Demand</t>
  </si>
  <si>
    <t>When Needed</t>
  </si>
  <si>
    <t xml:space="preserve">Ongoing- To do Burst Test for Validation </t>
  </si>
  <si>
    <t>Ongoing- As per BEML Design Done, Validation is on Hold</t>
  </si>
  <si>
    <t>As &amp; When Needed</t>
  </si>
  <si>
    <t>Ongoing- Conclave- For GTF 1 Size developed, Balance when Needed, Drawings Are Ready.</t>
  </si>
  <si>
    <t>Metal Seated ball valve For Hook-ups</t>
  </si>
  <si>
    <t>As per Customer Drawings</t>
  </si>
  <si>
    <t>On Hold : Drawing Made Technical Clarification From Customer for Qualification Specification is needed.</t>
  </si>
  <si>
    <t>-</t>
  </si>
  <si>
    <t>GA Drawing Standardisation, Fittings, Valves, Clamps</t>
  </si>
  <si>
    <t>Clamps</t>
  </si>
  <si>
    <t>Indian Railway Hoses Development-CLW</t>
  </si>
  <si>
    <t>1920VALVE60</t>
  </si>
  <si>
    <t>THREE WAY COCK 1.1/2" (90 DEG MOVEMENT)- Brass.</t>
  </si>
  <si>
    <t>Ongoing- Need to develop Samples for CS</t>
  </si>
  <si>
    <t>On Hold- Since its Duplicate Enquiry per Above per Development No 25</t>
  </si>
  <si>
    <t>Industries 4.0- PLM (Design Data Systematic Organise i.e. Drawing, Technical Spec &amp; Keep updating through Software)</t>
  </si>
  <si>
    <t xml:space="preserve">Design And development of Double ferrule fittings for RM: 6Mo and Inconel, Super Duplex  </t>
  </si>
  <si>
    <t>Test Validation as per existing drag &amp; pressure calculation for tubing.</t>
  </si>
  <si>
    <t>Flex grip</t>
  </si>
  <si>
    <t>Product Development</t>
  </si>
  <si>
    <t>Drg. Made Need validation</t>
  </si>
  <si>
    <t>GE  Fittings (Out of 412-270 Possible to developed)</t>
  </si>
  <si>
    <t>Hardware's for Railways</t>
  </si>
  <si>
    <t>Need to See the details- Competitors Products vs Our scope</t>
  </si>
  <si>
    <t>Need to See the details- Competitors Products vs Our scope to define. HIP, Butec</t>
  </si>
  <si>
    <t>Need to See the details- Competitors Products vs Our scope to define</t>
  </si>
  <si>
    <t>As per AS18280 &amp; Boeing Part Details</t>
  </si>
  <si>
    <t>Buy &amp; Self Development Model Suitable, Dies for sizes. Vass vs Stauff? Technical Catalogue is clear now to Buy.</t>
  </si>
  <si>
    <t>Issues Arise at Customer End, In-house, Validation of Products at its full rated capacity. Size 12 &amp; Size 16 under trial.</t>
  </si>
  <si>
    <t xml:space="preserve">Inhouse costing Vs BO costing details for metal seated valves  are shared with Tansen sir on 30/07/2019.
Decision awaited                                         
Sample/Component drawings required </t>
  </si>
  <si>
    <t xml:space="preserve">Angle Cock Valve RH (Globe Type) Size 3/4" Soft Seated, 3/4 Metal Seated", 1"Soft Seated &amp; 1" Metal Seated </t>
  </si>
  <si>
    <t>As per Faiveley Sample/Knorr received. FCPL Mfg. Cost &amp; Investment,  RDSO Approval Needed Yes/No</t>
  </si>
  <si>
    <t xml:space="preserve">Angle Cock Valve LH (Globe Type) Size 3/4" Soft Seated, 3/4 Metal Seated", 1"Soft Seated &amp; 1" Metal Seated </t>
  </si>
  <si>
    <t xml:space="preserve">As per Faiveley Sample/Knorr received. FCPL Mfg. Cost &amp; Investment,  RDSO Approval Needed Yes/No. </t>
  </si>
  <si>
    <t>Bellow seal valve-Cladding with colomony</t>
  </si>
  <si>
    <t>New Product to be develop, with Compony cladding</t>
  </si>
  <si>
    <t>Select one size 1/2" NRV, Define Validation Parameter Cracking Pressure, Rate Pressure, Reliability how many cycles, Relatability with respect to change in spring</t>
  </si>
  <si>
    <t>Ball Valve Redesign Per Hydac</t>
  </si>
  <si>
    <t xml:space="preserve">We have received samples, Collect details, </t>
  </si>
  <si>
    <t>Done- This is to be BO we have created supplier list &amp; its details.</t>
  </si>
  <si>
    <t>Need to Build Databased from Supplier/ Product Specification/ Costing/ Match with Enquiries Received</t>
  </si>
  <si>
    <t>Concept Finalised &amp; submitted to KBL for Approval.</t>
  </si>
  <si>
    <t>On Hold- Submitted to Supremo Concept , Awaited clearance</t>
  </si>
  <si>
    <t>Swagelok Types', Parker -Need to certify as per MNGL &amp; Other Natural Gas Specification</t>
  </si>
  <si>
    <t>Single Ferrule Redesign- to Meet International Brand- Voss/Stauff/ Parker Equivalent</t>
  </si>
  <si>
    <t>GA drawings</t>
  </si>
  <si>
    <t>As Customer Requirements</t>
  </si>
  <si>
    <t>On Demand- Optimisation design for Cost Saving &amp; reduce no of parts.</t>
  </si>
  <si>
    <t>Review For Assembly &amp; Inspection and as needed</t>
  </si>
  <si>
    <t xml:space="preserve">Inhouse costing Vs BO costing details for metal seated design are shared with Tansen sir on 30/07/2019.
Decision awaited                                         
Sample/Component drawings required </t>
  </si>
  <si>
    <t>On Hold Cladding Process Sample to Be Prepare,
Budgetary Offer submitted to Sales- Awaited Feedback.</t>
  </si>
  <si>
    <t>Hydro Fittings : Ratary For Bharat Forge</t>
  </si>
  <si>
    <t>Hydro Fittings : CS Benjo Fittings &amp; SW Fittings</t>
  </si>
  <si>
    <t>Hydro Fittings : EO2/FCPL ES -Local Design Without Bonding</t>
  </si>
  <si>
    <t>Atul</t>
  </si>
  <si>
    <t>Domestci SMS/Metso/Distributor</t>
  </si>
  <si>
    <t>2021FITTINGE25</t>
  </si>
  <si>
    <t>1920FITTINGE26</t>
  </si>
  <si>
    <t>1920FITTINGE27</t>
  </si>
  <si>
    <t>Vent Fittings- Camron</t>
  </si>
  <si>
    <t>As per Global Part Coade (P) &amp; as per referance sample</t>
  </si>
  <si>
    <t>Completed</t>
  </si>
  <si>
    <t>NADCAP For Aerospace Fittings</t>
  </si>
  <si>
    <t>Ramalal</t>
  </si>
  <si>
    <t xml:space="preserve">Ongoing </t>
  </si>
  <si>
    <t>Aluminium fittings as BI Forging -JIC Type.-Aerospace Fittings</t>
  </si>
  <si>
    <t>Santosh K</t>
  </si>
  <si>
    <t>On hold Drawing Made, Validation Pending</t>
  </si>
  <si>
    <t>On Hold- Drawing as per Inquiry done- No Order for Prototype</t>
  </si>
  <si>
    <t>Done</t>
  </si>
  <si>
    <t>As per Parker to develop</t>
  </si>
  <si>
    <t>On Hold- Costing submiited awating Customer feedback</t>
  </si>
  <si>
    <t>22-23FITTINGE28</t>
  </si>
  <si>
    <t>As per Parker</t>
  </si>
  <si>
    <t>22-23FITTINGE29</t>
  </si>
  <si>
    <t>22-23FITTINGE30</t>
  </si>
  <si>
    <t>Domestic Fittings 24 Deg to 37 Deg Cone Fittings</t>
  </si>
  <si>
    <t>Domestic Fittings Minimise Coupler</t>
  </si>
  <si>
    <t>Alstom -Extr Long Connector- Perth Project</t>
  </si>
  <si>
    <t>As per AT Drawing</t>
  </si>
  <si>
    <t>1920VALVE67</t>
  </si>
  <si>
    <t>Sigma Valve</t>
  </si>
  <si>
    <t>On Hold- Drawing &amp; Costing Submitted awating Sales Feedback</t>
  </si>
  <si>
    <t>2022ALL02</t>
  </si>
  <si>
    <t>Railway Break Component</t>
  </si>
  <si>
    <t>Rahul P</t>
  </si>
  <si>
    <t>Smaple Drawing and costing submitted to Sales Awating feedback</t>
  </si>
  <si>
    <t>Nitin</t>
  </si>
  <si>
    <t>Rahul P./Sanket</t>
  </si>
  <si>
    <t xml:space="preserve">Forging Development for Double ferrule. 350 Nos of drawings for forgings- Now its is almost 700+ Items code </t>
  </si>
  <si>
    <t>Section 5 Out of which We need to develop as &amp; when needed as per customer -All sections- Series to be provided for all types of fittings</t>
  </si>
  <si>
    <t>Under uaidation 6 MM to 42 in L 12,18,28,22 Sample is ready &amp; validated,  Sereis S -16MM taken for validation</t>
  </si>
  <si>
    <t>Fittings EO2- Domestic Market  O ring seprate on Ferrule</t>
  </si>
  <si>
    <t>O ring Face Seal fittings- ORFS. Tube Flare/Not flare</t>
  </si>
  <si>
    <t>60° Cone Connectors- DIN 8434-6</t>
  </si>
  <si>
    <t>Krishna/Rahul P.</t>
  </si>
  <si>
    <t>High Pressure Fittings above 10,000 PSI
HIP or Butec 60,000 PSI</t>
  </si>
  <si>
    <t xml:space="preserve">Sanket </t>
  </si>
  <si>
    <t>Stauff Tube Flaring/OLAB Fititngs</t>
  </si>
  <si>
    <t>CNG Fititnngs Maruti Suzuki</t>
  </si>
  <si>
    <t>2122CERT01</t>
  </si>
  <si>
    <t>ABMS</t>
  </si>
  <si>
    <t>2122CERT02</t>
  </si>
  <si>
    <t xml:space="preserve">Product Certification </t>
  </si>
  <si>
    <t>Oil &amp; Gas, CNG</t>
  </si>
  <si>
    <t>ASME NPT</t>
  </si>
  <si>
    <t>2122CERT03</t>
  </si>
  <si>
    <t>2122CERT04</t>
  </si>
  <si>
    <t>2122CERT05</t>
  </si>
  <si>
    <t>ABS Valve &amp; Manifold Revalidation</t>
  </si>
  <si>
    <t>Oil &amp; Gas</t>
  </si>
  <si>
    <t>QPL Certification for AS Fititngs</t>
  </si>
  <si>
    <t>Re-engineering of Components C3W Valve FT, KB List as per Break System</t>
  </si>
  <si>
    <t>Ongoing for 
1) Flared Type 24 Deg.  For Domestic Customer
2) Flared Type 37 Deg.</t>
  </si>
  <si>
    <t>JIC fittings/DIN 8434</t>
  </si>
  <si>
    <t>Fittings EO2 Bonded Type</t>
  </si>
  <si>
    <t>DFF remapping- Our Product Performance with Swagelok &amp; Parker Latest Series. Size 16 &amp; Size 12</t>
  </si>
  <si>
    <t>On Hold- No requirment</t>
  </si>
  <si>
    <t>As per Customer Requirment -Size -8MM to 44.5 MM OD size.  (Pipe Or Tube)</t>
  </si>
  <si>
    <t>Nitin Patil</t>
  </si>
  <si>
    <t>Camozy Push in fittings/Exports Enquiry</t>
  </si>
  <si>
    <t>H2 Service Fittings</t>
  </si>
  <si>
    <t>Alstom Cable Gland</t>
  </si>
  <si>
    <t>Rexel Coimbtoor -34 Parts</t>
  </si>
  <si>
    <t>Rotary/360 Deg Fittings</t>
  </si>
  <si>
    <t>Kirloskar Servo Mechnism</t>
  </si>
  <si>
    <t>Defence Project Armed Vhecle</t>
  </si>
  <si>
    <t>Hose Fittings Development</t>
  </si>
  <si>
    <t>Nitin P</t>
  </si>
  <si>
    <t>2122FITTING10</t>
  </si>
  <si>
    <t>2122FITTING12</t>
  </si>
  <si>
    <t>2122FITTING13</t>
  </si>
  <si>
    <t>2122FITTING14</t>
  </si>
  <si>
    <t>2122FITTING15</t>
  </si>
  <si>
    <t>Oliver /MHA Zancraft Ball Valve Fittings- H2 Service We need to develop it</t>
  </si>
  <si>
    <t>As per Sample</t>
  </si>
  <si>
    <t>Exports</t>
  </si>
  <si>
    <t>2122FITTING16</t>
  </si>
  <si>
    <t>New Development</t>
  </si>
  <si>
    <t>2122SERVICES01</t>
  </si>
  <si>
    <t>Defence</t>
  </si>
  <si>
    <t>2122SERVICES02</t>
  </si>
  <si>
    <t>2122SERVICES04</t>
  </si>
  <si>
    <t xml:space="preserve">Hose </t>
  </si>
  <si>
    <t>On Hold-  Desing &amp; Validation Done, Awating Customer Approval.</t>
  </si>
  <si>
    <t>Done- FEA Module 1 st Alt done, But Metallurgy defined and submitted Customer</t>
  </si>
  <si>
    <t>Ongoing- Initial preparation started, Matrix completed</t>
  </si>
  <si>
    <t>On-Hold</t>
  </si>
  <si>
    <t>Air Reservoir- Medha Servo</t>
  </si>
  <si>
    <t>Study of Air distribution valve/ Re- engineering of ADV  Study of E70 and CCB break system and develop all related component with supplier TOPGRIP, ACCURATE- Pressure switch</t>
  </si>
  <si>
    <t>Throttle valve</t>
  </si>
  <si>
    <t>On going- Drawing Ready, Sample preparation started</t>
  </si>
  <si>
    <t>Development of Throttal Valve- Design, Manufacturing and Testing</t>
  </si>
  <si>
    <t>2223VALVE68</t>
  </si>
  <si>
    <t xml:space="preserve">On Demand- Quotation send customer </t>
  </si>
  <si>
    <t>5 Validated &amp; Balance under development</t>
  </si>
  <si>
    <t xml:space="preserve">Quick Connector </t>
  </si>
  <si>
    <t>FCR49316</t>
  </si>
  <si>
    <t>2223FITTING</t>
  </si>
  <si>
    <t>Ongoing- 2 Sizes Developed Balance (5 Sizes) to Review.</t>
  </si>
  <si>
    <t>Ongoing- Make all PDF &amp; Cad in to Solid works. This is ongoing with Students Projects- Student need to allot for project</t>
  </si>
  <si>
    <t>Need to conduct meeting for review scope</t>
  </si>
  <si>
    <t>Under validation 6 MM to 42 in L 12,18,28,22 Sample is ready &amp; validated,  Sereis S -16,06,10 MM taken for validation</t>
  </si>
  <si>
    <t>Hinges development for Alstom</t>
  </si>
  <si>
    <t>FCR49E0097 / 103</t>
  </si>
  <si>
    <t>Telescopic Rod</t>
  </si>
  <si>
    <t>Saftey Catch</t>
  </si>
  <si>
    <t>36  New parts development
11 Cable glands, 25 Cu, Al, CS materials</t>
  </si>
  <si>
    <t>Alstom/ Rexel New development</t>
  </si>
  <si>
    <t>Hydrogen fittings - all sizes (06 Nos)</t>
  </si>
  <si>
    <t>Export / Domestic</t>
  </si>
  <si>
    <t>12 mm size submitted to customer feedback awaited. Remaining sizes need to review.</t>
  </si>
  <si>
    <t>Process</t>
  </si>
  <si>
    <t>Latching Cock- Ball valve</t>
  </si>
  <si>
    <t>Done- Sample submitted to customer</t>
  </si>
  <si>
    <t>Santosh K, Dilip</t>
  </si>
  <si>
    <t>Santosh K, Abhay Dhake, Dilip</t>
  </si>
  <si>
    <t>FCR50E0021</t>
  </si>
  <si>
    <t xml:space="preserve">On going- Dismenteling done.  </t>
  </si>
  <si>
    <t>FCR49E0382</t>
  </si>
  <si>
    <t>Export</t>
  </si>
  <si>
    <t>Latching Cock- Casting handle bolted body</t>
  </si>
  <si>
    <t>Development of Valve- Design, Manufacturing and Testing</t>
  </si>
  <si>
    <t>Check Valve- Self operating</t>
  </si>
  <si>
    <t>Drawing and sample completed. Sample submitted to customer for FAI. Customer feedback awaited.</t>
  </si>
  <si>
    <t>Rotary Actuator</t>
  </si>
  <si>
    <t>DRDO</t>
  </si>
  <si>
    <t>Deisgn and Manufacturing of Rotary Actator</t>
  </si>
  <si>
    <t xml:space="preserve">KBF Altenative </t>
  </si>
  <si>
    <t>On going</t>
  </si>
  <si>
    <t>Jeet Shaha</t>
  </si>
  <si>
    <t>Vaccum Annealing Chamber Specification to design</t>
  </si>
  <si>
    <t>NPCIL Fittings Approval</t>
  </si>
  <si>
    <t>CADNAS</t>
  </si>
  <si>
    <t>All System Upgradation</t>
  </si>
  <si>
    <t>Snaket Patil</t>
  </si>
  <si>
    <t>Sample Probe</t>
  </si>
  <si>
    <t>Abhay Dake,Mahesh Kekane, Ramalal</t>
  </si>
  <si>
    <t>High Temp/Low Temprature Pressure Impulse Test Setup</t>
  </si>
  <si>
    <t>Ganehs L/Mahehs K</t>
  </si>
  <si>
    <t>Patents</t>
  </si>
  <si>
    <t>All, Rahul Patil</t>
  </si>
  <si>
    <t xml:space="preserve">Surface Tretment Process </t>
  </si>
  <si>
    <t>Special Project</t>
  </si>
  <si>
    <t>Flag Rod Assembly</t>
  </si>
  <si>
    <t>Testing</t>
  </si>
  <si>
    <t>Development new process</t>
  </si>
  <si>
    <t>Development design and manufacturing</t>
  </si>
  <si>
    <t>Website upgradation</t>
  </si>
  <si>
    <t>Development - Manufacturing and Testing</t>
  </si>
  <si>
    <t>Development- Design, Manufacturing and Testing</t>
  </si>
  <si>
    <t>Ongoing : Team Centre, Solid works Library Software's evaluation is progressively going on- Trail-review- discussion. System order placed.</t>
  </si>
  <si>
    <t>2324VALVE01</t>
  </si>
  <si>
    <t>2324VALVE02</t>
  </si>
  <si>
    <t>2324VALVE03</t>
  </si>
  <si>
    <t>2324SERVICE01</t>
  </si>
  <si>
    <t>2324PROCESS01</t>
  </si>
  <si>
    <t>2324PROCESS02</t>
  </si>
  <si>
    <t>2324CERT01</t>
  </si>
  <si>
    <t>2324SERVICE02</t>
  </si>
  <si>
    <t>2324TESTING01</t>
  </si>
  <si>
    <t>Nuclear</t>
  </si>
  <si>
    <t>FCPL Crimping Machine- Single Ferrule Fitting</t>
  </si>
  <si>
    <t>Done for As asked size- Need to Print Catlouge</t>
  </si>
  <si>
    <t>Double Ferrule Fittings Re-Enginnering</t>
  </si>
  <si>
    <t>FCPl</t>
  </si>
  <si>
    <t>Domestic</t>
  </si>
  <si>
    <t>Flag Rod Assembly-(6mm OD Size assly)</t>
  </si>
  <si>
    <t>Manifold Assembly</t>
  </si>
  <si>
    <t>Hydraulic Lift-Testing</t>
  </si>
  <si>
    <t>Development- Testing Rig for Hydraulic lift</t>
  </si>
  <si>
    <t>Eo2 Form Fitting development</t>
  </si>
  <si>
    <t>Development of sizes 10,12,18mm</t>
  </si>
  <si>
    <t>Eo2 Fitting &amp; Ferrule development</t>
  </si>
  <si>
    <t>Development of sizes 06,08,10,12mm</t>
  </si>
  <si>
    <t>Onging- Quotation submit to Customer</t>
  </si>
  <si>
    <t>Defence/ Railway</t>
  </si>
  <si>
    <t>Ongoing-Drawing Ready - Quotation stage, Validation Trail completed</t>
  </si>
  <si>
    <t>System</t>
  </si>
  <si>
    <t xml:space="preserve">All design system need to update </t>
  </si>
  <si>
    <t>Ongoing- New desine trial sample submitted to customer.</t>
  </si>
  <si>
    <t xml:space="preserve">Pravin P </t>
  </si>
  <si>
    <t>Ongoing- Design to be approve By GE- Design completed for 2 sizes and validation cpmleted</t>
  </si>
  <si>
    <t>2324VALVE04</t>
  </si>
  <si>
    <t>Safety Relief Valve For CNG From Parker Sample</t>
  </si>
  <si>
    <t>2324VALVE05</t>
  </si>
  <si>
    <t>Ball Valve For CNG From Parker Sample</t>
  </si>
  <si>
    <t xml:space="preserve">Floating Type : 1/2" - 2" 6000 PSI- Fire Safe Type </t>
  </si>
  <si>
    <t>Done- Feed back awaited from customer</t>
  </si>
  <si>
    <t>Ongoing- compitator sample procurement in process for reverse engineering</t>
  </si>
  <si>
    <t>Sample submitted to customer feedback awaited from customer. Customer end end validation going on.</t>
  </si>
  <si>
    <t>13 Parts developed 23 parts in process for development. 13 Parts submitted to customer for fitment. Customer will be share drawing for clearification of technical specification.</t>
  </si>
  <si>
    <t>2324SP01</t>
  </si>
  <si>
    <t>2324TESTING02</t>
  </si>
  <si>
    <t>On going- supplier Quotation taken.</t>
  </si>
  <si>
    <t>Done- Testbench completed trial conducted, System upgradation. Customer Testing started</t>
  </si>
  <si>
    <t xml:space="preserve">Testing </t>
  </si>
  <si>
    <t>Enhancement of Pneumatic testing</t>
  </si>
  <si>
    <t>Hose , Tube Fitting</t>
  </si>
  <si>
    <t xml:space="preserve">Hose , Tube Fitting </t>
  </si>
  <si>
    <t>Ongoing- Drawing submitted to supplier. Manufacturing started</t>
  </si>
  <si>
    <t>2324TESTING03</t>
  </si>
  <si>
    <t>Heat decipation and pressure drop testing</t>
  </si>
  <si>
    <t>FC501274</t>
  </si>
  <si>
    <t>2324TESTING04</t>
  </si>
  <si>
    <t>Fire Testing EN45545</t>
  </si>
  <si>
    <t>Hose and Tube Testing</t>
  </si>
  <si>
    <t>01/10/203</t>
  </si>
  <si>
    <t>On going- Discussion in process with customer</t>
  </si>
  <si>
    <t xml:space="preserve"> Done-Machine Developed,
Dies Development going on for Alstom Sizes </t>
  </si>
  <si>
    <t>Rahul Patil</t>
  </si>
  <si>
    <t>Done-Drawing &amp; Technical Review completed STR &amp; Specification confirm with customer. Sample submitted.</t>
  </si>
  <si>
    <t>Done- Sample submitted to customer. Need to type test at our lab.</t>
  </si>
  <si>
    <t>On going- Drawing Ready, Hold at customer end</t>
  </si>
  <si>
    <t>On going- Drawing Ready, Sample preparation started. Sample testing completed PO received for sample development. Dies development in process</t>
  </si>
  <si>
    <t>On going- Drawing Ready, Sample preparation started. Sample testing completed PO received for sample development. Under quotation review stage.</t>
  </si>
  <si>
    <t>Ongoing- Machine under procurment.</t>
  </si>
  <si>
    <t>Ongoing- Compititor sample procurement going on. Drawing completed and sample submitted to customer.  (tube size 6 and 8 mm completed)</t>
  </si>
  <si>
    <t>Tata Advance</t>
  </si>
  <si>
    <t>Trafo Oil Tube assemblies</t>
  </si>
  <si>
    <t>2 types of Welded tube assemblies of 88 mm bend tubes</t>
  </si>
  <si>
    <t>Railways</t>
  </si>
  <si>
    <t>Special Tube bending Tool Development</t>
  </si>
  <si>
    <t xml:space="preserve">Special purpose bending tool development critical bending of 10mm od tube for wabtech </t>
  </si>
  <si>
    <t>Aerospace bending development</t>
  </si>
  <si>
    <t>Bending of 31.75X0.711 thk,50.8X0.889 thk,19.05X0.991 thk</t>
  </si>
  <si>
    <t>2324SP02</t>
  </si>
  <si>
    <t>2324SP03</t>
  </si>
  <si>
    <t>2324SP04</t>
  </si>
  <si>
    <t>2324SP05</t>
  </si>
  <si>
    <t>2324SP06</t>
  </si>
  <si>
    <t>2324SP07</t>
  </si>
  <si>
    <t>2324SP08</t>
  </si>
  <si>
    <t>2324SP09</t>
  </si>
  <si>
    <t>2324SP10</t>
  </si>
  <si>
    <t>Welding Qualification- EN15085</t>
  </si>
  <si>
    <t xml:space="preserve">Done </t>
  </si>
  <si>
    <t>On Hold- Discussed with GE for Provide more details, Now with FT/Wabtec team</t>
  </si>
  <si>
    <t>CNG valve -TMBV 1/2", 3/8", 3/4"</t>
  </si>
  <si>
    <t>Ongoing- Three Sizes Developed as BO &amp; Submitted to Customer through Sales for Validation. Internal testing and validation in process.</t>
  </si>
  <si>
    <t>Done.</t>
  </si>
  <si>
    <t>Done- Need to develop Samples in SS (Brought out from supplier)</t>
  </si>
  <si>
    <t>Ongoing- Design ready , Sample preparation in process.</t>
  </si>
  <si>
    <t>Feasibility Study Done- Quotation submitted to customer</t>
  </si>
  <si>
    <t>Done- SS Done for Sizes per Alstom,
CS In under Validation Test</t>
  </si>
  <si>
    <t>35 MM &amp; 28 MM Ferrules to be swaged without insert. (6,10,12,18,22 MM )</t>
  </si>
  <si>
    <t>Ongoing-3 Types developed addation 3 under development- Validation pending.</t>
  </si>
  <si>
    <t>Ongoing -Costing submiited awating Customer feedback ,Need to Provide COC, Certification required.</t>
  </si>
  <si>
    <t>2223fitting 01</t>
  </si>
  <si>
    <t>2223FITTING02</t>
  </si>
  <si>
    <t>2223FITTING03</t>
  </si>
  <si>
    <t>2324FITTING01</t>
  </si>
  <si>
    <t>2324SERVICE03</t>
  </si>
  <si>
    <t>Analysis (FEA/CFD)</t>
  </si>
  <si>
    <t>Ganehs Lohar</t>
  </si>
  <si>
    <t>New bending machine/special bending tool</t>
  </si>
  <si>
    <t>Leak Testing</t>
  </si>
  <si>
    <t>Air Pressure testing of Ships</t>
  </si>
  <si>
    <t>Ganesh L/ Mahesh K</t>
  </si>
  <si>
    <t>2324SERVICE04</t>
  </si>
  <si>
    <t>On hold - Procurement going on switches</t>
  </si>
  <si>
    <t>On hold- Drawing and Sample ready.</t>
  </si>
  <si>
    <t>2425VALVE01</t>
  </si>
  <si>
    <t>Santosh K, Sushila J</t>
  </si>
  <si>
    <t>As per Faiveley/Knoor Bremse-  Design, Manufacturing and Testing</t>
  </si>
  <si>
    <t>On going- Design in process</t>
  </si>
  <si>
    <t xml:space="preserve"> 2324VALVE06</t>
  </si>
  <si>
    <t>Development of 20K PSI Needle Valve- Design, Manufacturing and Testing as per API6A (PR2F qualification)</t>
  </si>
  <si>
    <t>FCEX50E0168</t>
  </si>
  <si>
    <t>On going- Design completed. Sample Manufacturing going on. Testinf setup in process</t>
  </si>
  <si>
    <t>Vinod G,Sushila J</t>
  </si>
  <si>
    <t>Vinod G, Santosh K, Dilip</t>
  </si>
  <si>
    <t>Sushila J</t>
  </si>
  <si>
    <t>2425VALVE02</t>
  </si>
  <si>
    <t>Project will be start after reciept of sample.</t>
  </si>
  <si>
    <t>FC50E1647</t>
  </si>
  <si>
    <t xml:space="preserve"> Ball Valve and Check Valve</t>
  </si>
  <si>
    <t>On hold- Costing Submitted to sales, customer reply awaiting</t>
  </si>
  <si>
    <t xml:space="preserve">On going, Concetraded on size 1/4 Inch CNG Fittings </t>
  </si>
  <si>
    <t>Done- JJG ,AZAD</t>
  </si>
  <si>
    <t>2324FITTING02</t>
  </si>
  <si>
    <t>Coupling Sleeve,Plug and Cap</t>
  </si>
  <si>
    <t>FCEX50E0021</t>
  </si>
  <si>
    <t>Customer specific</t>
  </si>
  <si>
    <t>On going- Quotation approved by customer, Sample in process</t>
  </si>
  <si>
    <t>2324AERO01</t>
  </si>
  <si>
    <t>fittings</t>
  </si>
  <si>
    <t>Hydraulic Fitting</t>
  </si>
  <si>
    <t>Drawing, Manufacturing and Testing</t>
  </si>
  <si>
    <t>FC50E1129</t>
  </si>
  <si>
    <t>Fija B</t>
  </si>
  <si>
    <t>On going- Quotation submitted to customer, QPL programm in process</t>
  </si>
  <si>
    <t>Hydraulic Cylinder- 4 Types</t>
  </si>
  <si>
    <t>Oil and Gas</t>
  </si>
  <si>
    <t>Suyog B</t>
  </si>
  <si>
    <t>2324SP11</t>
  </si>
  <si>
    <t>Canister Luncher-3 Types</t>
  </si>
  <si>
    <t>FC50E1622</t>
  </si>
  <si>
    <t>Fuel Pump</t>
  </si>
  <si>
    <t>FC50E1886</t>
  </si>
  <si>
    <t>Ongoing-
L Sereis Drawings Ready To do Burst Test for Validation (tube size 6,8,12 mm completed) 18 mm in process</t>
  </si>
  <si>
    <t xml:space="preserve">Ongoing- Regular fitting developed. New fitting requirement identified. </t>
  </si>
  <si>
    <t>On going- Drawing Ready, Sample preparation started. Sample testing completed PO received for sample development. Parts submitted to custome. Feedback awaited</t>
  </si>
  <si>
    <t>Kit1,2,3,4 Tube &amp; Hose Assemblies  LHD and RHD</t>
  </si>
  <si>
    <t>Ongoing- Child part received. Welding trail going on.</t>
  </si>
  <si>
    <t>10 mm tool developed. 6 mm in process</t>
  </si>
  <si>
    <t>Fire saftey hose and fittings</t>
  </si>
  <si>
    <t>2425HOSE01</t>
  </si>
  <si>
    <t>Bend Tube</t>
  </si>
  <si>
    <t>FC50E1574</t>
  </si>
  <si>
    <t>2425TUBE01</t>
  </si>
  <si>
    <t>Tube</t>
  </si>
  <si>
    <t>Design in Process</t>
  </si>
  <si>
    <t>Design in process</t>
  </si>
  <si>
    <t>SS hose assembly Welding</t>
  </si>
  <si>
    <t>2425SP01</t>
  </si>
  <si>
    <t>New product</t>
  </si>
  <si>
    <t>Scope identification in process</t>
  </si>
  <si>
    <t>New Development- Re engineering</t>
  </si>
  <si>
    <t>Catlogue in process</t>
  </si>
  <si>
    <t>Tube Bending - conduit</t>
  </si>
  <si>
    <t>FC50E1600</t>
  </si>
  <si>
    <t>2324SP12</t>
  </si>
  <si>
    <t>2324SP13</t>
  </si>
  <si>
    <t>2324SP14</t>
  </si>
  <si>
    <t>Water Mist Nozzle</t>
  </si>
  <si>
    <t>Development - Manufacturing analysis and Testing</t>
  </si>
  <si>
    <t>FC50E1450</t>
  </si>
  <si>
    <t>Suyog B, Sanket P, Ganesh L</t>
  </si>
  <si>
    <t>2425SP02</t>
  </si>
  <si>
    <t>Suyog B, Sanket P</t>
  </si>
  <si>
    <t xml:space="preserve">Costing submitted to custmer. </t>
  </si>
  <si>
    <t>Quoatation submitted to customer. Design ready. FEA in process</t>
  </si>
  <si>
    <t>Done- T+A111:L123estbench completed trial conducted, System upgradation. Customer Testing started</t>
  </si>
  <si>
    <t xml:space="preserve">FEA and CFD of Shelter </t>
  </si>
  <si>
    <t>19 Models completed.</t>
  </si>
  <si>
    <t>Quotation share.</t>
  </si>
  <si>
    <t>2324TESTING05</t>
  </si>
  <si>
    <t>High Pressure pulsation setup 1400 Bar fully automatic</t>
  </si>
  <si>
    <t>PR2F- Tersting setup</t>
  </si>
  <si>
    <t>Valve and fitting</t>
  </si>
  <si>
    <t>2324TESTING06</t>
  </si>
  <si>
    <t>2425TESTING01</t>
  </si>
  <si>
    <t>Enhancement of Manual Testing</t>
  </si>
  <si>
    <t>Graphical representation of Testing</t>
  </si>
  <si>
    <t>Test Bench</t>
  </si>
  <si>
    <t>2425SERVICE01</t>
  </si>
  <si>
    <t>FC fitting intermixability study with swagelok Fitting</t>
  </si>
  <si>
    <t>Validation As per ASTM F1387</t>
  </si>
  <si>
    <t>2425CERT01</t>
  </si>
  <si>
    <t>Scope addition in NABL - Hose and Tube testing</t>
  </si>
  <si>
    <t>All standard relevent with Hose and tube testing</t>
  </si>
  <si>
    <t>All</t>
  </si>
  <si>
    <t>Standard and scope identification in process.</t>
  </si>
  <si>
    <t>2425FITTING01</t>
  </si>
  <si>
    <t>Fittings benchmark with swagelok</t>
  </si>
  <si>
    <t>5 Types of fitting re-engineering as per swageleok , Manufacturing and validation</t>
  </si>
  <si>
    <t>FC50E1625</t>
  </si>
  <si>
    <t>Krushna R, Ganesh L, Atul K</t>
  </si>
  <si>
    <t>Dimension, Drawing and manufacturing inprocess</t>
  </si>
  <si>
    <t>On going- 2 Trials conducted, PIN process development going on. CNG ferrule trial going on. Electrocleaning trial in process. 3/4 and 1" Completed</t>
  </si>
  <si>
    <t>On Going</t>
  </si>
  <si>
    <t>On Hold- Quotation submitted to customer</t>
  </si>
  <si>
    <t>on hold</t>
  </si>
  <si>
    <t>Submitted to customer</t>
  </si>
  <si>
    <t>requirement is closed, due to feasibility</t>
  </si>
  <si>
    <t>Ongoing-  1st stage -79 Itemes completed.</t>
  </si>
  <si>
    <t>2425AEROC01</t>
  </si>
  <si>
    <t>2425AEROF01</t>
  </si>
  <si>
    <t xml:space="preserve">AEROSPACE FITTING (PERMASWAGE) FOR ADE </t>
  </si>
  <si>
    <t>6 TYPES OF COUPLING FITTING re-engineering as per Sample , Manufacturing and validation</t>
  </si>
  <si>
    <t>6 TYPES OF FITTING re-engineering as per Sample (PERMASWAGE) , Manufacturing and validation</t>
  </si>
  <si>
    <t>FC51E1738</t>
  </si>
  <si>
    <t>FC51E1798/FC51E1737</t>
  </si>
  <si>
    <t>SKID (Fibrication)</t>
  </si>
  <si>
    <t>FC50E1600A</t>
  </si>
  <si>
    <t>HYDRAULIC &amp; PNEUMATIC CIRCUIT PANEL (MPHPC)</t>
  </si>
  <si>
    <t>2324SP15</t>
  </si>
  <si>
    <t>2324SP16</t>
  </si>
  <si>
    <t>Suyog B, Ganesh L</t>
  </si>
  <si>
    <t>25-03-024</t>
  </si>
  <si>
    <t>2324SP17</t>
  </si>
  <si>
    <t>CDR BOX -2 (Fibrication)</t>
  </si>
  <si>
    <t>FC51E2021</t>
  </si>
  <si>
    <t xml:space="preserve"> FC51E1474</t>
  </si>
  <si>
    <t>Central Tool Room &amp; Training Centre (CTDC) Bhuvaneswar</t>
  </si>
  <si>
    <t>CDR BOX -1 (Fibrication)</t>
  </si>
  <si>
    <t>FC51E1338</t>
  </si>
  <si>
    <t>2324SP18</t>
  </si>
  <si>
    <t>2324SP19</t>
  </si>
  <si>
    <t>2324SP20</t>
  </si>
  <si>
    <t>FC51E2090</t>
  </si>
  <si>
    <t xml:space="preserve">Development - Manufacturing </t>
  </si>
  <si>
    <t>Development - Manufacturing</t>
  </si>
  <si>
    <t>REFRIGERANT TUBES BULKHEAD ASSY.</t>
  </si>
  <si>
    <t>2526VALVE01</t>
  </si>
  <si>
    <t>NON-RETURN VALVE IN BRASS</t>
  </si>
  <si>
    <t>Development- Design, Manufacturing and Testing as per sample.</t>
  </si>
  <si>
    <t>2526VALVE02</t>
  </si>
  <si>
    <t>NON-RETURN VALVE IN SS316</t>
  </si>
  <si>
    <t>2324AERO02</t>
  </si>
  <si>
    <t>PO Received, Samples Dispatched for approval</t>
  </si>
  <si>
    <t>Hydraulic Fitting, tube Brazing</t>
  </si>
  <si>
    <t>FC51E1562</t>
  </si>
  <si>
    <t>2324AERO03</t>
  </si>
  <si>
    <t xml:space="preserve">FC51E1395 </t>
  </si>
  <si>
    <t xml:space="preserve">AEROSPACE fuel line COUPLING FOR ADE </t>
  </si>
  <si>
    <t>Sanket P. / Yedukar Sir</t>
  </si>
  <si>
    <t>Sr.No.</t>
  </si>
  <si>
    <t>Project Category</t>
  </si>
  <si>
    <t>Process Development</t>
  </si>
  <si>
    <t>Product Category</t>
  </si>
  <si>
    <t>Tube Fitting</t>
  </si>
  <si>
    <t>Hose Fitting</t>
  </si>
  <si>
    <t>Clamp</t>
  </si>
  <si>
    <t>Tube Assembly</t>
  </si>
  <si>
    <t>Hose Assembly</t>
  </si>
  <si>
    <t>Enquiry Number (if Applicable)</t>
  </si>
  <si>
    <t>Product Category (only for Product Development &amp; Certification Projects)</t>
  </si>
  <si>
    <t>Project Leader</t>
  </si>
  <si>
    <t>Engineering Leader (Old Project Owner)</t>
  </si>
  <si>
    <t>Market Segment</t>
  </si>
  <si>
    <t>Govt Railways - Loco</t>
  </si>
  <si>
    <t>Govt Railways - Coaches</t>
  </si>
  <si>
    <t>Private Railways</t>
  </si>
  <si>
    <t>Oil &amp; Gas, Down/Up Stream</t>
  </si>
  <si>
    <t>Industrial Application</t>
  </si>
  <si>
    <t>Business Unit</t>
  </si>
  <si>
    <t>BU #1</t>
  </si>
  <si>
    <t>BU #2</t>
  </si>
  <si>
    <t>Semi-Conductor</t>
  </si>
  <si>
    <t>Testing &amp; Engg Services</t>
  </si>
  <si>
    <t>Project Number (Earlier Development Number)</t>
  </si>
  <si>
    <t>Krishna Rashtrakut</t>
  </si>
  <si>
    <t>Project Risk Classification</t>
  </si>
  <si>
    <t>Minor Change</t>
  </si>
  <si>
    <t>Major Change</t>
  </si>
  <si>
    <t>Complete New Product</t>
  </si>
  <si>
    <t>Business Opportunity</t>
  </si>
  <si>
    <t>Bronze</t>
  </si>
  <si>
    <t>Silver</t>
  </si>
  <si>
    <t>Gold</t>
  </si>
  <si>
    <t>Platinum</t>
  </si>
  <si>
    <t>Diamond</t>
  </si>
  <si>
    <t>Customer Specific Project? - Yes/No</t>
  </si>
  <si>
    <t>Lead Customer Name</t>
  </si>
  <si>
    <t>Project Phase</t>
  </si>
  <si>
    <t>Phase 0</t>
  </si>
  <si>
    <t>Actual Start Date</t>
  </si>
  <si>
    <t>Planned Start Date</t>
  </si>
  <si>
    <t>Target Completion Date</t>
  </si>
  <si>
    <t>Forecast Completion Date</t>
  </si>
  <si>
    <t>Actual Completion date</t>
  </si>
  <si>
    <t>Remarks</t>
  </si>
  <si>
    <t>High Level Scope Of Project</t>
  </si>
  <si>
    <t>Overall Status</t>
  </si>
  <si>
    <t>In-Process</t>
  </si>
  <si>
    <t>Killed</t>
  </si>
  <si>
    <t>Power Bi Dashboard</t>
  </si>
  <si>
    <t>Page 1 (Landing Page)</t>
  </si>
  <si>
    <t>Total Project Count</t>
  </si>
  <si>
    <t>OK</t>
  </si>
  <si>
    <t>Count of Project by Status</t>
  </si>
  <si>
    <t>Count of Project by Project Category</t>
  </si>
  <si>
    <t>Count of Project by Product Category</t>
  </si>
  <si>
    <t>Add</t>
  </si>
  <si>
    <t>Count of Project by Risk Classification</t>
  </si>
  <si>
    <t>Count of Project by Business Opportunity</t>
  </si>
  <si>
    <t>Graph</t>
  </si>
  <si>
    <t>Count of project by Project Phase</t>
  </si>
  <si>
    <t xml:space="preserve">Drop Down Selection </t>
  </si>
  <si>
    <t>Project Status</t>
  </si>
  <si>
    <t>Required ? May be duplication</t>
  </si>
  <si>
    <t>Count of project by Quarter</t>
  </si>
  <si>
    <t>Remove ?</t>
  </si>
  <si>
    <t>Project Owner/Leader</t>
  </si>
  <si>
    <t>Required?</t>
  </si>
  <si>
    <t>Date of Start</t>
  </si>
  <si>
    <t>Required? Linked to Graph 8</t>
  </si>
  <si>
    <t>Customer</t>
  </si>
  <si>
    <t>Overall Project demographics</t>
  </si>
  <si>
    <t>Page 2</t>
  </si>
  <si>
    <t>Project Details</t>
  </si>
  <si>
    <t>Required? May be duplication with Page 1</t>
  </si>
  <si>
    <t>Page 3</t>
  </si>
  <si>
    <t>Resource Analysis</t>
  </si>
  <si>
    <t>Count of Project by Engineering Leader</t>
  </si>
  <si>
    <t>Count of Project by Project Leader</t>
  </si>
  <si>
    <t>Fabrication</t>
  </si>
  <si>
    <t>Phase 1 - Definition</t>
  </si>
  <si>
    <t>Phase 2 - Concept development</t>
  </si>
  <si>
    <t>Phase 3 - Detail design</t>
  </si>
  <si>
    <t>Phase 4 - Validation</t>
  </si>
  <si>
    <t>Phase 5 - Production</t>
  </si>
  <si>
    <t>PROJECT NUMBER</t>
  </si>
  <si>
    <t>PROJECT CATEGORY</t>
  </si>
  <si>
    <t>bu #1</t>
  </si>
  <si>
    <t>bu #2</t>
  </si>
  <si>
    <t>bu#1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</si>
</sst>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yy;@"/>
    <numFmt numFmtId="165" formatCode="[$-14009]dd\ mmmm\ yyyy;@"/>
    <numFmt numFmtId="166" formatCode="[$-14009]dd/mm/yy;@"/>
  </numFmts>
  <fonts count="10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4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/>
    </xf>
    <xf numFmtId="166" fontId="1" fillId="0" borderId="1" xfId="0" quotePrefix="1" applyNumberFormat="1" applyFont="1" applyBorder="1" applyAlignment="1">
      <alignment horizontal="center" vertical="center"/>
    </xf>
    <xf numFmtId="166" fontId="1" fillId="6" borderId="1" xfId="0" quotePrefix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5" fillId="7" borderId="1" xfId="0" quotePrefix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7" borderId="1" xfId="0" quotePrefix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14" fontId="1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65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1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14" fontId="6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8" fillId="0" borderId="0" xfId="0" applyFont="1" applyBorder="1" applyAlignment="1">
      <alignment horizontal="left"/>
    </xf>
    <xf numFmtId="0" fontId="0" fillId="4" borderId="1" xfId="0" applyFill="1" applyBorder="1"/>
    <xf numFmtId="0" fontId="8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7" fillId="4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0"/>
  <sheetViews>
    <sheetView tabSelected="1" zoomScale="85" zoomScaleNormal="85" workbookViewId="0">
      <pane xSplit="4" ySplit="1" topLeftCell="Q2" activePane="bottomRight" state="frozen"/>
      <selection pane="topRight" activeCell="D1" sqref="D1"/>
      <selection pane="bottomLeft" activeCell="A2" sqref="A2"/>
      <selection pane="bottomRight" activeCell="U4" sqref="U3:U160"/>
    </sheetView>
  </sheetViews>
  <sheetFormatPr defaultColWidth="9.140625" defaultRowHeight="15"/>
  <cols>
    <col min="1" max="1" width="8.85546875" style="31"/>
    <col min="2" max="2" width="16.7109375" style="20" customWidth="1"/>
    <col min="3" max="3" width="71.140625" style="20" customWidth="1"/>
    <col min="4" max="4" width="15.7109375" style="20" bestFit="1" customWidth="1"/>
    <col min="5" max="5" width="54.5703125" style="26" bestFit="1" customWidth="1"/>
    <col min="6" max="8" width="42.42578125" style="26" customWidth="1"/>
    <col min="9" max="9" width="32.140625" style="20" bestFit="1" customWidth="1"/>
    <col min="10" max="10" width="21" style="20" bestFit="1" customWidth="1"/>
    <col min="11" max="13" width="21" style="20" customWidth="1"/>
    <col min="14" max="14" width="23.140625" style="20" bestFit="1" customWidth="1"/>
    <col min="15" max="15" width="14.42578125" style="31" bestFit="1" customWidth="1"/>
    <col min="16" max="16" width="12.42578125" style="31" bestFit="1" customWidth="1"/>
    <col min="17" max="21" width="12.42578125" style="31" customWidth="1"/>
    <col min="22" max="22" width="23" style="20" customWidth="1"/>
    <col min="23" max="23" width="46.28515625" style="26" customWidth="1"/>
    <col min="24" max="16384" width="9.140625" style="20"/>
  </cols>
  <sheetData>
    <row r="1" spans="1:24" s="26" customFormat="1" ht="57" customHeight="1">
      <c r="A1" s="22" t="s">
        <v>105</v>
      </c>
      <c r="B1" s="34" t="s">
        <v>714</v>
      </c>
      <c r="C1" s="34" t="s">
        <v>715</v>
      </c>
      <c r="D1" s="34" t="s">
        <v>103</v>
      </c>
      <c r="E1" s="34" t="s">
        <v>104</v>
      </c>
      <c r="F1" s="34" t="s">
        <v>102</v>
      </c>
      <c r="G1" s="94" t="s">
        <v>647</v>
      </c>
      <c r="H1" s="94" t="s">
        <v>641</v>
      </c>
      <c r="I1" s="34" t="s">
        <v>100</v>
      </c>
      <c r="J1" s="34" t="s">
        <v>101</v>
      </c>
      <c r="K1" s="94" t="s">
        <v>654</v>
      </c>
      <c r="L1" s="94" t="s">
        <v>640</v>
      </c>
      <c r="M1" s="94" t="s">
        <v>658</v>
      </c>
      <c r="N1" s="34" t="s">
        <v>99</v>
      </c>
      <c r="O1" s="22" t="s">
        <v>98</v>
      </c>
      <c r="P1" s="22" t="s">
        <v>97</v>
      </c>
      <c r="Q1" s="94" t="s">
        <v>666</v>
      </c>
      <c r="R1" s="99" t="s">
        <v>671</v>
      </c>
      <c r="S1" s="99" t="s">
        <v>668</v>
      </c>
      <c r="T1" s="99" t="s">
        <v>672</v>
      </c>
      <c r="U1" s="99" t="s">
        <v>675</v>
      </c>
      <c r="V1" s="34" t="s">
        <v>152</v>
      </c>
      <c r="W1" s="34" t="s">
        <v>155</v>
      </c>
      <c r="X1" s="45"/>
    </row>
    <row r="2" spans="1:24" s="10" customFormat="1">
      <c r="A2" s="3">
        <v>1</v>
      </c>
      <c r="B2" s="2" t="s">
        <v>96</v>
      </c>
      <c r="C2" s="2" t="str">
        <f>IF(D2="Certification","Product Certification","")</f>
        <v>Product Certification</v>
      </c>
      <c r="D2" s="2" t="s">
        <v>94</v>
      </c>
      <c r="E2" s="2" t="s">
        <v>95</v>
      </c>
      <c r="F2" s="2" t="s">
        <v>106</v>
      </c>
      <c r="G2" s="2" t="s">
        <v>716</v>
      </c>
      <c r="H2" s="2" t="str">
        <f>IF(C2="Product Development","Govt Railways - Loco",IF(C2="Product Certification","Oil &amp; Gas",IF(C2="Process Development","Aerospace",IF(C2="Test Stand Development","Semi-Conductor",""))))</f>
        <v>Oil &amp; Gas</v>
      </c>
      <c r="I2" s="2"/>
      <c r="J2" s="2" t="s">
        <v>107</v>
      </c>
      <c r="K2" s="2" t="str">
        <f ca="1">CHOOSE(RANDBETWEEN(1,3),"Minor Change","Major Change","Complete New Product")</f>
        <v>Minor Change</v>
      </c>
      <c r="L2" s="2" t="str">
        <f ca="1">CHOOSE(RANDBETWEEN(1,4),"Krishna Rashtrakut","Nitin Patil","Praveen Patil","Vinod Ghatge")</f>
        <v>Vinod Ghatge</v>
      </c>
      <c r="M2" s="2" t="str">
        <f ca="1">CHOOSE(RANDBETWEEN(1,5),"Bronze","Silver","Gold","Platinum","Diamond")</f>
        <v>Silver</v>
      </c>
      <c r="N2" s="2" t="s">
        <v>223</v>
      </c>
      <c r="O2" s="18" t="s">
        <v>159</v>
      </c>
      <c r="P2" s="50" t="s">
        <v>167</v>
      </c>
      <c r="Q2" s="50" t="str">
        <f ca="1">CHOOSE(RANDBETWEEN(1,6),"Phase 0","Phase 1 - Definition","Phase 2 - Concept development","Phase 3 - Detail design","Phase 4 - Validation","Phase 5 - Production")</f>
        <v>Phase 4 - Validation</v>
      </c>
      <c r="R2" s="50"/>
      <c r="S2" s="50"/>
      <c r="T2" s="50"/>
      <c r="U2" s="50" t="str">
        <f ca="1">IF(Q2="","Killed",IF(ISNUMBER(SEARCH("Phase 5",Q2)),"Completed",CHOOSE(RANDBETWEEN(1,3),"In-Process","On-Hold","Killed")))</f>
        <v>Killed</v>
      </c>
      <c r="V2" s="2" t="s">
        <v>153</v>
      </c>
      <c r="W2" s="4" t="s">
        <v>156</v>
      </c>
    </row>
    <row r="3" spans="1:24" s="10" customFormat="1">
      <c r="A3" s="27">
        <v>2</v>
      </c>
      <c r="B3" s="28" t="s">
        <v>260</v>
      </c>
      <c r="C3" s="28" t="str">
        <f>IF(OR(D3="valve",D3="special project"),"Product Development",IF(OR(D3="services",D3="aerospace"),"Process Development",IF(OR(D3="testing",D3="fittings"),"Test Stand Development",IF(D3="certification","Product Certification",""))))</f>
        <v>Product Certification</v>
      </c>
      <c r="D3" s="28" t="s">
        <v>94</v>
      </c>
      <c r="E3" s="28" t="s">
        <v>222</v>
      </c>
      <c r="F3" s="28" t="s">
        <v>106</v>
      </c>
      <c r="G3" s="2" t="s">
        <v>717</v>
      </c>
      <c r="H3" s="2" t="str">
        <f t="shared" ref="H3:H66" si="0">IF(C3="Product Development","Govt Railways - Loco",IF(C3="Product Certification","Oil &amp; Gas",IF(C3="Process Development","Aerospace",IF(C3="Test Stand Development","Semi-Conductor",""))))</f>
        <v>Oil &amp; Gas</v>
      </c>
      <c r="I3" s="28" t="s">
        <v>108</v>
      </c>
      <c r="J3" s="28" t="s">
        <v>107</v>
      </c>
      <c r="K3" s="2" t="str">
        <f t="shared" ref="K3:K66" ca="1" si="1">CHOOSE(RANDBETWEEN(1,3),"Minor Change","Major Change","Complete New Product")</f>
        <v>Minor Change</v>
      </c>
      <c r="L3" s="2" t="str">
        <f t="shared" ref="L3:L66" ca="1" si="2">CHOOSE(RANDBETWEEN(1,4),"Krishna Rashtrakut","Nitin Patil","Praveen Patil","Vinod Ghatge")</f>
        <v>Praveen Patil</v>
      </c>
      <c r="M3" s="2" t="str">
        <f ca="1">CHOOSE(RANDBETWEEN(1,5),"Bronze","Silver","Gold","Platinum","Diamond")</f>
        <v>Silver</v>
      </c>
      <c r="N3" s="28" t="s">
        <v>223</v>
      </c>
      <c r="O3" s="29">
        <v>44531</v>
      </c>
      <c r="P3" s="51" t="s">
        <v>167</v>
      </c>
      <c r="Q3" s="50" t="str">
        <f t="shared" ref="Q3:Q66" ca="1" si="3">CHOOSE(RANDBETWEEN(1,6),"Phase 0","Phase 1 - Definition","Phase 2 - Concept development","Phase 3 - Detail design","Phase 4 - Validation","Phase 5 - Production")</f>
        <v>Phase 1 - Definition</v>
      </c>
      <c r="R3" s="51"/>
      <c r="S3" s="51"/>
      <c r="T3" s="51"/>
      <c r="U3" s="51" t="str">
        <f ca="1">IF(Q2="","Killed",IF(LEFT(P2,7)="Phase 5","Completed",CHOOSE(RANDBETWEEN(1,3),"In-Process","On-Hold","Killed")))</f>
        <v>Killed</v>
      </c>
      <c r="V3" s="28" t="s">
        <v>153</v>
      </c>
      <c r="W3" s="35" t="s">
        <v>221</v>
      </c>
    </row>
    <row r="4" spans="1:24" s="15" customFormat="1">
      <c r="A4" s="52">
        <v>3</v>
      </c>
      <c r="B4" s="53" t="s">
        <v>93</v>
      </c>
      <c r="C4" s="28" t="str">
        <f t="shared" ref="C4:C67" si="4">IF(OR(D4="valve",D4="special project"),"Product Development",IF(OR(D4="services",D4="aerospace"),"Process Development",IF(OR(D4="testing",D4="fittings"),"Test Stand Development",IF(D4="certification","Product Certification",""))))</f>
        <v>Process Development</v>
      </c>
      <c r="D4" s="53" t="s">
        <v>49</v>
      </c>
      <c r="E4" s="53" t="s">
        <v>92</v>
      </c>
      <c r="F4" s="53" t="s">
        <v>91</v>
      </c>
      <c r="G4" s="2" t="s">
        <v>716</v>
      </c>
      <c r="H4" s="2" t="str">
        <f t="shared" si="0"/>
        <v>Aerospace</v>
      </c>
      <c r="I4" s="54" t="s">
        <v>107</v>
      </c>
      <c r="J4" s="54" t="s">
        <v>107</v>
      </c>
      <c r="K4" s="2" t="str">
        <f t="shared" ca="1" si="1"/>
        <v>Complete New Product</v>
      </c>
      <c r="L4" s="2" t="str">
        <f t="shared" ca="1" si="2"/>
        <v>Krishna Rashtrakut</v>
      </c>
      <c r="M4" s="2" t="str">
        <f t="shared" ref="M3:M66" ca="1" si="5">CHOOSE(RANDBETWEEN(1,5),"Bronze","Silver","Gold","Platinum","Diamond")</f>
        <v>Gold</v>
      </c>
      <c r="N4" s="53" t="s">
        <v>247</v>
      </c>
      <c r="O4" s="52" t="s">
        <v>159</v>
      </c>
      <c r="P4" s="55" t="s">
        <v>167</v>
      </c>
      <c r="Q4" s="50" t="str">
        <f t="shared" ca="1" si="3"/>
        <v>Phase 0</v>
      </c>
      <c r="R4" s="55"/>
      <c r="S4" s="55"/>
      <c r="T4" s="55"/>
      <c r="U4" s="51" t="str">
        <f t="shared" ref="U4:U67" ca="1" si="6">IF(Q3="","Killed",IF(LEFT(P3,7)="Phase 5","Completed",CHOOSE(RANDBETWEEN(1,3),"In-Process","On-Hold","Killed")))</f>
        <v>Killed</v>
      </c>
      <c r="V4" s="53" t="s">
        <v>154</v>
      </c>
      <c r="W4" s="53" t="s">
        <v>314</v>
      </c>
    </row>
    <row r="5" spans="1:24" s="10" customFormat="1" ht="30">
      <c r="A5" s="3">
        <v>4</v>
      </c>
      <c r="B5" s="4" t="s">
        <v>90</v>
      </c>
      <c r="C5" s="28" t="str">
        <f t="shared" si="4"/>
        <v>Process Development</v>
      </c>
      <c r="D5" s="4" t="s">
        <v>49</v>
      </c>
      <c r="E5" s="4" t="s">
        <v>308</v>
      </c>
      <c r="F5" s="4" t="s">
        <v>91</v>
      </c>
      <c r="G5" s="2" t="s">
        <v>717</v>
      </c>
      <c r="H5" s="2" t="str">
        <f t="shared" si="0"/>
        <v>Aerospace</v>
      </c>
      <c r="I5" s="2"/>
      <c r="J5" s="2" t="s">
        <v>107</v>
      </c>
      <c r="K5" s="2" t="str">
        <f t="shared" ca="1" si="1"/>
        <v>Complete New Product</v>
      </c>
      <c r="L5" s="2" t="str">
        <f t="shared" ca="1" si="2"/>
        <v>Vinod Ghatge</v>
      </c>
      <c r="M5" s="2" t="str">
        <f t="shared" ca="1" si="5"/>
        <v>Gold</v>
      </c>
      <c r="N5" s="4" t="s">
        <v>279</v>
      </c>
      <c r="O5" s="23">
        <v>44970</v>
      </c>
      <c r="P5" s="17">
        <v>45565</v>
      </c>
      <c r="Q5" s="50" t="str">
        <f t="shared" ca="1" si="3"/>
        <v>Phase 5 - Production</v>
      </c>
      <c r="R5" s="17"/>
      <c r="S5" s="17"/>
      <c r="T5" s="17"/>
      <c r="U5" s="51" t="str">
        <f t="shared" ca="1" si="6"/>
        <v>In-Process</v>
      </c>
      <c r="V5" s="4" t="s">
        <v>154</v>
      </c>
      <c r="W5" s="4" t="s">
        <v>463</v>
      </c>
    </row>
    <row r="6" spans="1:24" s="10" customFormat="1" ht="57.6" customHeight="1">
      <c r="A6" s="56">
        <v>5</v>
      </c>
      <c r="B6" s="57" t="s">
        <v>89</v>
      </c>
      <c r="C6" s="28" t="str">
        <f t="shared" si="4"/>
        <v>Process Development</v>
      </c>
      <c r="D6" s="57" t="s">
        <v>49</v>
      </c>
      <c r="E6" s="57" t="s">
        <v>88</v>
      </c>
      <c r="F6" s="57" t="s">
        <v>309</v>
      </c>
      <c r="G6" s="2" t="s">
        <v>716</v>
      </c>
      <c r="H6" s="2" t="str">
        <f t="shared" si="0"/>
        <v>Aerospace</v>
      </c>
      <c r="I6" s="58"/>
      <c r="J6" s="58" t="s">
        <v>107</v>
      </c>
      <c r="K6" s="2" t="str">
        <f t="shared" ca="1" si="1"/>
        <v>Minor Change</v>
      </c>
      <c r="L6" s="2" t="str">
        <f t="shared" ca="1" si="2"/>
        <v>Krishna Rashtrakut</v>
      </c>
      <c r="M6" s="2" t="str">
        <f t="shared" ca="1" si="5"/>
        <v>Diamond</v>
      </c>
      <c r="N6" s="57" t="s">
        <v>336</v>
      </c>
      <c r="O6" s="56" t="s">
        <v>159</v>
      </c>
      <c r="P6" s="59" t="s">
        <v>167</v>
      </c>
      <c r="Q6" s="50" t="str">
        <f t="shared" ca="1" si="3"/>
        <v>Phase 4 - Validation</v>
      </c>
      <c r="R6" s="59"/>
      <c r="S6" s="59"/>
      <c r="T6" s="59"/>
      <c r="U6" s="51" t="str">
        <f t="shared" ca="1" si="6"/>
        <v>Killed</v>
      </c>
      <c r="V6" s="57" t="s">
        <v>154</v>
      </c>
      <c r="W6" s="57" t="s">
        <v>338</v>
      </c>
    </row>
    <row r="7" spans="1:24" s="10" customFormat="1" ht="45">
      <c r="A7" s="3">
        <v>6</v>
      </c>
      <c r="B7" s="4" t="s">
        <v>87</v>
      </c>
      <c r="C7" s="28" t="str">
        <f t="shared" si="4"/>
        <v>Process Development</v>
      </c>
      <c r="D7" s="4" t="s">
        <v>49</v>
      </c>
      <c r="E7" s="4" t="s">
        <v>175</v>
      </c>
      <c r="F7" s="4" t="s">
        <v>208</v>
      </c>
      <c r="G7" s="2" t="s">
        <v>717</v>
      </c>
      <c r="H7" s="2" t="str">
        <f t="shared" si="0"/>
        <v>Aerospace</v>
      </c>
      <c r="I7" s="2" t="s">
        <v>107</v>
      </c>
      <c r="J7" s="2" t="s">
        <v>107</v>
      </c>
      <c r="K7" s="2" t="str">
        <f t="shared" ca="1" si="1"/>
        <v>Complete New Product</v>
      </c>
      <c r="L7" s="2" t="str">
        <f t="shared" ca="1" si="2"/>
        <v>Praveen Patil</v>
      </c>
      <c r="M7" s="2" t="str">
        <f t="shared" ca="1" si="5"/>
        <v>Silver</v>
      </c>
      <c r="N7" s="4" t="s">
        <v>248</v>
      </c>
      <c r="O7" s="16">
        <v>44400</v>
      </c>
      <c r="P7" s="17">
        <v>45565</v>
      </c>
      <c r="Q7" s="50" t="str">
        <f t="shared" ca="1" si="3"/>
        <v>Phase 1 - Definition</v>
      </c>
      <c r="R7" s="17"/>
      <c r="S7" s="17"/>
      <c r="T7" s="17"/>
      <c r="U7" s="51" t="str">
        <f t="shared" ca="1" si="6"/>
        <v>In-Process</v>
      </c>
      <c r="V7" s="4" t="s">
        <v>153</v>
      </c>
      <c r="W7" s="4" t="s">
        <v>371</v>
      </c>
    </row>
    <row r="8" spans="1:24" s="10" customFormat="1" ht="54.75" customHeight="1">
      <c r="A8" s="14">
        <v>7</v>
      </c>
      <c r="B8" s="2" t="s">
        <v>86</v>
      </c>
      <c r="C8" s="28" t="str">
        <f t="shared" si="4"/>
        <v>Test Stand Development</v>
      </c>
      <c r="D8" s="4" t="s">
        <v>1</v>
      </c>
      <c r="E8" s="4" t="s">
        <v>249</v>
      </c>
      <c r="F8" s="4" t="s">
        <v>110</v>
      </c>
      <c r="G8" s="2" t="s">
        <v>716</v>
      </c>
      <c r="H8" s="2" t="str">
        <f t="shared" si="0"/>
        <v>Semi-Conductor</v>
      </c>
      <c r="I8" s="2" t="s">
        <v>107</v>
      </c>
      <c r="J8" s="2" t="s">
        <v>107</v>
      </c>
      <c r="K8" s="2" t="str">
        <f t="shared" ca="1" si="1"/>
        <v>Minor Change</v>
      </c>
      <c r="L8" s="2" t="str">
        <f t="shared" ca="1" si="2"/>
        <v>Vinod Ghatge</v>
      </c>
      <c r="M8" s="2" t="str">
        <f t="shared" ca="1" si="5"/>
        <v>Gold</v>
      </c>
      <c r="N8" s="4" t="s">
        <v>112</v>
      </c>
      <c r="O8" s="18" t="s">
        <v>159</v>
      </c>
      <c r="P8" s="16" t="s">
        <v>167</v>
      </c>
      <c r="Q8" s="50" t="str">
        <f t="shared" ca="1" si="3"/>
        <v>Phase 4 - Validation</v>
      </c>
      <c r="R8" s="16"/>
      <c r="S8" s="16"/>
      <c r="T8" s="16"/>
      <c r="U8" s="51" t="str">
        <f t="shared" ca="1" si="6"/>
        <v>Killed</v>
      </c>
      <c r="V8" s="2" t="s">
        <v>153</v>
      </c>
      <c r="W8" s="4" t="s">
        <v>207</v>
      </c>
    </row>
    <row r="9" spans="1:24" s="10" customFormat="1" ht="79.5" customHeight="1">
      <c r="A9" s="3">
        <v>8</v>
      </c>
      <c r="B9" s="2" t="s">
        <v>85</v>
      </c>
      <c r="C9" s="28" t="str">
        <f t="shared" si="4"/>
        <v>Test Stand Development</v>
      </c>
      <c r="D9" s="4" t="s">
        <v>1</v>
      </c>
      <c r="E9" s="4" t="s">
        <v>274</v>
      </c>
      <c r="F9" s="4" t="s">
        <v>250</v>
      </c>
      <c r="G9" s="2" t="s">
        <v>717</v>
      </c>
      <c r="H9" s="2" t="str">
        <f t="shared" si="0"/>
        <v>Semi-Conductor</v>
      </c>
      <c r="I9" s="2" t="s">
        <v>107</v>
      </c>
      <c r="J9" s="2" t="s">
        <v>107</v>
      </c>
      <c r="K9" s="2" t="str">
        <f t="shared" ca="1" si="1"/>
        <v>Minor Change</v>
      </c>
      <c r="L9" s="2" t="str">
        <f t="shared" ca="1" si="2"/>
        <v>Vinod Ghatge</v>
      </c>
      <c r="M9" s="2" t="str">
        <f t="shared" ca="1" si="5"/>
        <v>Silver</v>
      </c>
      <c r="N9" s="4" t="s">
        <v>111</v>
      </c>
      <c r="O9" s="23">
        <v>44408</v>
      </c>
      <c r="P9" s="17">
        <v>45565</v>
      </c>
      <c r="Q9" s="50" t="str">
        <f t="shared" ca="1" si="3"/>
        <v>Phase 2 - Concept development</v>
      </c>
      <c r="R9" s="17"/>
      <c r="S9" s="17"/>
      <c r="T9" s="17"/>
      <c r="U9" s="51" t="str">
        <f t="shared" ca="1" si="6"/>
        <v>On-Hold</v>
      </c>
      <c r="V9" s="2" t="s">
        <v>153</v>
      </c>
      <c r="W9" s="4" t="s">
        <v>273</v>
      </c>
    </row>
    <row r="10" spans="1:24" customFormat="1" ht="50.25" customHeight="1">
      <c r="A10" s="27">
        <v>9</v>
      </c>
      <c r="B10" s="28" t="s">
        <v>84</v>
      </c>
      <c r="C10" s="28" t="str">
        <f t="shared" si="4"/>
        <v>Test Stand Development</v>
      </c>
      <c r="D10" s="35" t="s">
        <v>1</v>
      </c>
      <c r="E10" s="35" t="s">
        <v>176</v>
      </c>
      <c r="F10" s="35" t="s">
        <v>177</v>
      </c>
      <c r="G10" s="2" t="s">
        <v>716</v>
      </c>
      <c r="H10" s="2" t="str">
        <f t="shared" si="0"/>
        <v>Semi-Conductor</v>
      </c>
      <c r="I10" s="28" t="s">
        <v>107</v>
      </c>
      <c r="J10" s="28" t="s">
        <v>107</v>
      </c>
      <c r="K10" s="2" t="str">
        <f t="shared" ca="1" si="1"/>
        <v>Complete New Product</v>
      </c>
      <c r="L10" s="2" t="str">
        <f t="shared" ca="1" si="2"/>
        <v>Praveen Patil</v>
      </c>
      <c r="M10" s="2" t="str">
        <f t="shared" ca="1" si="5"/>
        <v>Diamond</v>
      </c>
      <c r="N10" s="35" t="s">
        <v>112</v>
      </c>
      <c r="O10" s="29">
        <v>44408</v>
      </c>
      <c r="P10" s="29" t="s">
        <v>167</v>
      </c>
      <c r="Q10" s="50" t="str">
        <f t="shared" ca="1" si="3"/>
        <v>Phase 3 - Detail design</v>
      </c>
      <c r="R10" s="29"/>
      <c r="S10" s="29"/>
      <c r="T10" s="29"/>
      <c r="U10" s="51" t="str">
        <f t="shared" ca="1" si="6"/>
        <v>On-Hold</v>
      </c>
      <c r="V10" s="28" t="s">
        <v>153</v>
      </c>
      <c r="W10" s="35" t="s">
        <v>221</v>
      </c>
      <c r="X10" s="36"/>
    </row>
    <row r="11" spans="1:24" s="10" customFormat="1" ht="54.75" customHeight="1">
      <c r="A11" s="3">
        <v>10</v>
      </c>
      <c r="B11" s="2" t="s">
        <v>83</v>
      </c>
      <c r="C11" s="28" t="str">
        <f t="shared" si="4"/>
        <v>Test Stand Development</v>
      </c>
      <c r="D11" s="37" t="s">
        <v>1</v>
      </c>
      <c r="E11" s="4" t="s">
        <v>275</v>
      </c>
      <c r="F11" s="4" t="s">
        <v>251</v>
      </c>
      <c r="G11" s="2" t="s">
        <v>717</v>
      </c>
      <c r="H11" s="2" t="str">
        <f t="shared" si="0"/>
        <v>Semi-Conductor</v>
      </c>
      <c r="I11" s="4"/>
      <c r="J11" s="2" t="s">
        <v>107</v>
      </c>
      <c r="K11" s="2" t="str">
        <f t="shared" ca="1" si="1"/>
        <v>Minor Change</v>
      </c>
      <c r="L11" s="2" t="str">
        <f t="shared" ca="1" si="2"/>
        <v>Krishna Rashtrakut</v>
      </c>
      <c r="M11" s="2" t="str">
        <f t="shared" ca="1" si="5"/>
        <v>Platinum</v>
      </c>
      <c r="N11" s="4" t="s">
        <v>279</v>
      </c>
      <c r="O11" s="16">
        <v>44256</v>
      </c>
      <c r="P11" s="17">
        <v>45565</v>
      </c>
      <c r="Q11" s="50" t="str">
        <f t="shared" ca="1" si="3"/>
        <v>Phase 3 - Detail design</v>
      </c>
      <c r="R11" s="17"/>
      <c r="S11" s="17"/>
      <c r="T11" s="17"/>
      <c r="U11" s="51" t="str">
        <f t="shared" ca="1" si="6"/>
        <v>In-Process</v>
      </c>
      <c r="V11" s="2" t="s">
        <v>153</v>
      </c>
      <c r="W11" s="4" t="s">
        <v>520</v>
      </c>
    </row>
    <row r="12" spans="1:24" s="8" customFormat="1" ht="41.25" customHeight="1">
      <c r="A12" s="14">
        <v>11</v>
      </c>
      <c r="B12" s="2" t="s">
        <v>82</v>
      </c>
      <c r="C12" s="28" t="str">
        <f t="shared" si="4"/>
        <v>Test Stand Development</v>
      </c>
      <c r="D12" s="73" t="s">
        <v>1</v>
      </c>
      <c r="E12" s="4" t="s">
        <v>276</v>
      </c>
      <c r="F12" s="4" t="s">
        <v>81</v>
      </c>
      <c r="G12" s="2" t="s">
        <v>716</v>
      </c>
      <c r="H12" s="2" t="str">
        <f t="shared" si="0"/>
        <v>Semi-Conductor</v>
      </c>
      <c r="I12" s="2" t="s">
        <v>107</v>
      </c>
      <c r="J12" s="2" t="s">
        <v>107</v>
      </c>
      <c r="K12" s="2" t="str">
        <f t="shared" ca="1" si="1"/>
        <v>Minor Change</v>
      </c>
      <c r="L12" s="2" t="str">
        <f t="shared" ca="1" si="2"/>
        <v>Praveen Patil</v>
      </c>
      <c r="M12" s="2" t="str">
        <f t="shared" ca="1" si="5"/>
        <v>Platinum</v>
      </c>
      <c r="N12" s="4" t="s">
        <v>401</v>
      </c>
      <c r="O12" s="21" t="s">
        <v>159</v>
      </c>
      <c r="P12" s="16" t="s">
        <v>167</v>
      </c>
      <c r="Q12" s="50" t="str">
        <f t="shared" ca="1" si="3"/>
        <v>Phase 1 - Definition</v>
      </c>
      <c r="R12" s="16"/>
      <c r="S12" s="16"/>
      <c r="T12" s="16"/>
      <c r="U12" s="51" t="str">
        <f t="shared" ca="1" si="6"/>
        <v>Killed</v>
      </c>
      <c r="V12" s="2" t="s">
        <v>153</v>
      </c>
      <c r="W12" s="4" t="s">
        <v>498</v>
      </c>
      <c r="X12" s="10"/>
    </row>
    <row r="13" spans="1:24" customFormat="1" ht="43.5" customHeight="1">
      <c r="A13" s="3">
        <v>12</v>
      </c>
      <c r="B13" s="2" t="s">
        <v>80</v>
      </c>
      <c r="C13" s="28" t="str">
        <f t="shared" si="4"/>
        <v>Test Stand Development</v>
      </c>
      <c r="D13" s="4" t="s">
        <v>1</v>
      </c>
      <c r="E13" s="4" t="s">
        <v>79</v>
      </c>
      <c r="F13" s="4" t="s">
        <v>78</v>
      </c>
      <c r="G13" s="2" t="s">
        <v>717</v>
      </c>
      <c r="H13" s="2" t="str">
        <f t="shared" si="0"/>
        <v>Semi-Conductor</v>
      </c>
      <c r="I13" s="2" t="s">
        <v>107</v>
      </c>
      <c r="J13" s="2" t="s">
        <v>107</v>
      </c>
      <c r="K13" s="2" t="str">
        <f t="shared" ca="1" si="1"/>
        <v>Major Change</v>
      </c>
      <c r="L13" s="2" t="str">
        <f t="shared" ca="1" si="2"/>
        <v>Krishna Rashtrakut</v>
      </c>
      <c r="M13" s="2" t="str">
        <f t="shared" ca="1" si="5"/>
        <v>Gold</v>
      </c>
      <c r="N13" s="4" t="s">
        <v>112</v>
      </c>
      <c r="O13" s="21" t="s">
        <v>159</v>
      </c>
      <c r="P13" s="16" t="s">
        <v>167</v>
      </c>
      <c r="Q13" s="50" t="str">
        <f t="shared" ca="1" si="3"/>
        <v>Phase 4 - Validation</v>
      </c>
      <c r="R13" s="16"/>
      <c r="S13" s="16"/>
      <c r="T13" s="16"/>
      <c r="U13" s="51" t="str">
        <f t="shared" ca="1" si="6"/>
        <v>On-Hold</v>
      </c>
      <c r="V13" s="2" t="s">
        <v>153</v>
      </c>
      <c r="W13" s="4" t="s">
        <v>277</v>
      </c>
      <c r="X13" s="38"/>
    </row>
    <row r="14" spans="1:24" s="10" customFormat="1" ht="30">
      <c r="A14" s="3">
        <v>13</v>
      </c>
      <c r="B14" s="2" t="s">
        <v>77</v>
      </c>
      <c r="C14" s="28" t="str">
        <f t="shared" si="4"/>
        <v>Test Stand Development</v>
      </c>
      <c r="D14" s="73" t="s">
        <v>1</v>
      </c>
      <c r="E14" s="4" t="s">
        <v>178</v>
      </c>
      <c r="F14" s="4" t="s">
        <v>278</v>
      </c>
      <c r="G14" s="2" t="s">
        <v>716</v>
      </c>
      <c r="H14" s="2" t="str">
        <f t="shared" si="0"/>
        <v>Semi-Conductor</v>
      </c>
      <c r="I14" s="2"/>
      <c r="J14" s="2" t="s">
        <v>107</v>
      </c>
      <c r="K14" s="2" t="str">
        <f t="shared" ca="1" si="1"/>
        <v>Complete New Product</v>
      </c>
      <c r="L14" s="2" t="str">
        <f t="shared" ca="1" si="2"/>
        <v>Nitin Patil</v>
      </c>
      <c r="M14" s="2" t="str">
        <f t="shared" ca="1" si="5"/>
        <v>Gold</v>
      </c>
      <c r="N14" s="4" t="s">
        <v>401</v>
      </c>
      <c r="O14" s="16">
        <v>44183</v>
      </c>
      <c r="P14" s="17">
        <v>45565</v>
      </c>
      <c r="Q14" s="50" t="str">
        <f t="shared" ca="1" si="3"/>
        <v>Phase 1 - Definition</v>
      </c>
      <c r="R14" s="17"/>
      <c r="S14" s="17"/>
      <c r="T14" s="17"/>
      <c r="U14" s="51" t="str">
        <f t="shared" ca="1" si="6"/>
        <v>Killed</v>
      </c>
      <c r="V14" s="2" t="s">
        <v>153</v>
      </c>
      <c r="W14" s="4" t="s">
        <v>397</v>
      </c>
    </row>
    <row r="15" spans="1:24" s="10" customFormat="1">
      <c r="A15" s="3">
        <v>14</v>
      </c>
      <c r="B15" s="2" t="s">
        <v>76</v>
      </c>
      <c r="C15" s="28" t="str">
        <f t="shared" si="4"/>
        <v>Product Certification</v>
      </c>
      <c r="D15" s="4" t="s">
        <v>94</v>
      </c>
      <c r="E15" s="4" t="s">
        <v>75</v>
      </c>
      <c r="F15" s="4" t="s">
        <v>74</v>
      </c>
      <c r="G15" s="2" t="s">
        <v>717</v>
      </c>
      <c r="H15" s="2" t="str">
        <f t="shared" si="0"/>
        <v>Oil &amp; Gas</v>
      </c>
      <c r="I15" s="2" t="s">
        <v>107</v>
      </c>
      <c r="J15" s="2" t="s">
        <v>107</v>
      </c>
      <c r="K15" s="2" t="str">
        <f t="shared" ca="1" si="1"/>
        <v>Major Change</v>
      </c>
      <c r="L15" s="2" t="str">
        <f t="shared" ca="1" si="2"/>
        <v>Krishna Rashtrakut</v>
      </c>
      <c r="M15" s="2" t="str">
        <f t="shared" ca="1" si="5"/>
        <v>Silver</v>
      </c>
      <c r="N15" s="4" t="s">
        <v>109</v>
      </c>
      <c r="O15" s="21" t="s">
        <v>159</v>
      </c>
      <c r="P15" s="16" t="s">
        <v>167</v>
      </c>
      <c r="Q15" s="50" t="str">
        <f t="shared" ca="1" si="3"/>
        <v>Phase 0</v>
      </c>
      <c r="R15" s="16"/>
      <c r="S15" s="16"/>
      <c r="T15" s="16"/>
      <c r="U15" s="51" t="str">
        <f t="shared" ca="1" si="6"/>
        <v>In-Process</v>
      </c>
      <c r="V15" s="2" t="s">
        <v>154</v>
      </c>
      <c r="W15" s="4" t="s">
        <v>156</v>
      </c>
    </row>
    <row r="16" spans="1:24" s="10" customFormat="1" ht="34.5" customHeight="1">
      <c r="A16" s="63">
        <v>15</v>
      </c>
      <c r="B16" s="28" t="s">
        <v>73</v>
      </c>
      <c r="C16" s="28" t="str">
        <f t="shared" si="4"/>
        <v>Test Stand Development</v>
      </c>
      <c r="D16" s="35" t="s">
        <v>1</v>
      </c>
      <c r="E16" s="35" t="s">
        <v>225</v>
      </c>
      <c r="F16" s="35" t="s">
        <v>179</v>
      </c>
      <c r="G16" s="2" t="s">
        <v>716</v>
      </c>
      <c r="H16" s="2" t="str">
        <f t="shared" si="0"/>
        <v>Semi-Conductor</v>
      </c>
      <c r="I16" s="28"/>
      <c r="J16" s="28" t="s">
        <v>107</v>
      </c>
      <c r="K16" s="2" t="str">
        <f t="shared" ca="1" si="1"/>
        <v>Major Change</v>
      </c>
      <c r="L16" s="2" t="str">
        <f t="shared" ca="1" si="2"/>
        <v>Nitin Patil</v>
      </c>
      <c r="M16" s="2" t="str">
        <f t="shared" ca="1" si="5"/>
        <v>Diamond</v>
      </c>
      <c r="N16" s="35" t="s">
        <v>111</v>
      </c>
      <c r="O16" s="29">
        <v>44652</v>
      </c>
      <c r="P16" s="29">
        <v>45291</v>
      </c>
      <c r="Q16" s="50" t="str">
        <f t="shared" ca="1" si="3"/>
        <v>Phase 5 - Production</v>
      </c>
      <c r="R16" s="29"/>
      <c r="S16" s="29"/>
      <c r="T16" s="29"/>
      <c r="U16" s="51" t="str">
        <f t="shared" ca="1" si="6"/>
        <v>Killed</v>
      </c>
      <c r="V16" s="28" t="s">
        <v>153</v>
      </c>
      <c r="W16" s="35" t="s">
        <v>499</v>
      </c>
    </row>
    <row r="17" spans="1:24" customFormat="1" ht="30">
      <c r="A17" s="3">
        <v>16</v>
      </c>
      <c r="B17" s="2" t="s">
        <v>72</v>
      </c>
      <c r="C17" s="28" t="str">
        <f t="shared" si="4"/>
        <v>Test Stand Development</v>
      </c>
      <c r="D17" s="4" t="s">
        <v>1</v>
      </c>
      <c r="E17" s="4" t="s">
        <v>71</v>
      </c>
      <c r="F17" s="4" t="s">
        <v>70</v>
      </c>
      <c r="G17" s="2" t="s">
        <v>717</v>
      </c>
      <c r="H17" s="2" t="str">
        <f t="shared" si="0"/>
        <v>Semi-Conductor</v>
      </c>
      <c r="I17" s="2"/>
      <c r="J17" s="2" t="s">
        <v>107</v>
      </c>
      <c r="K17" s="2" t="str">
        <f t="shared" ca="1" si="1"/>
        <v>Complete New Product</v>
      </c>
      <c r="L17" s="2" t="str">
        <f t="shared" ca="1" si="2"/>
        <v>Praveen Patil</v>
      </c>
      <c r="M17" s="2" t="str">
        <f t="shared" ca="1" si="5"/>
        <v>Bronze</v>
      </c>
      <c r="N17" s="4" t="s">
        <v>112</v>
      </c>
      <c r="O17" s="21" t="s">
        <v>159</v>
      </c>
      <c r="P17" s="16" t="s">
        <v>167</v>
      </c>
      <c r="Q17" s="50" t="str">
        <f t="shared" ca="1" si="3"/>
        <v>Phase 2 - Concept development</v>
      </c>
      <c r="R17" s="16"/>
      <c r="S17" s="16"/>
      <c r="T17" s="16"/>
      <c r="U17" s="51" t="str">
        <f t="shared" ca="1" si="6"/>
        <v>Killed</v>
      </c>
      <c r="V17" s="2" t="s">
        <v>153</v>
      </c>
      <c r="W17" s="4" t="s">
        <v>319</v>
      </c>
      <c r="X17" s="38"/>
    </row>
    <row r="18" spans="1:24" s="10" customFormat="1" ht="30">
      <c r="A18" s="3">
        <v>17</v>
      </c>
      <c r="B18" s="2" t="s">
        <v>69</v>
      </c>
      <c r="C18" s="28" t="str">
        <f t="shared" si="4"/>
        <v>Test Stand Development</v>
      </c>
      <c r="D18" s="4" t="s">
        <v>1</v>
      </c>
      <c r="E18" s="4" t="s">
        <v>253</v>
      </c>
      <c r="F18" s="4" t="s">
        <v>180</v>
      </c>
      <c r="G18" s="2" t="s">
        <v>717</v>
      </c>
      <c r="H18" s="2" t="str">
        <f t="shared" si="0"/>
        <v>Semi-Conductor</v>
      </c>
      <c r="I18" s="2"/>
      <c r="J18" s="2" t="s">
        <v>107</v>
      </c>
      <c r="K18" s="2" t="str">
        <f t="shared" ca="1" si="1"/>
        <v>Major Change</v>
      </c>
      <c r="L18" s="2" t="str">
        <f t="shared" ca="1" si="2"/>
        <v>Praveen Patil</v>
      </c>
      <c r="M18" s="2" t="str">
        <f t="shared" ca="1" si="5"/>
        <v>Platinum</v>
      </c>
      <c r="N18" s="4" t="s">
        <v>111</v>
      </c>
      <c r="O18" s="21" t="s">
        <v>159</v>
      </c>
      <c r="P18" s="16" t="s">
        <v>167</v>
      </c>
      <c r="Q18" s="50" t="str">
        <f t="shared" ca="1" si="3"/>
        <v>Phase 4 - Validation</v>
      </c>
      <c r="R18" s="16"/>
      <c r="S18" s="16"/>
      <c r="T18" s="16"/>
      <c r="U18" s="51" t="str">
        <f t="shared" ca="1" si="6"/>
        <v>Killed</v>
      </c>
      <c r="V18" s="2" t="s">
        <v>153</v>
      </c>
      <c r="W18" s="4" t="s">
        <v>161</v>
      </c>
    </row>
    <row r="19" spans="1:24" s="10" customFormat="1">
      <c r="A19" s="27">
        <v>18</v>
      </c>
      <c r="B19" s="28" t="s">
        <v>68</v>
      </c>
      <c r="C19" s="28" t="str">
        <f t="shared" si="4"/>
        <v>Test Stand Development</v>
      </c>
      <c r="D19" s="35" t="s">
        <v>1</v>
      </c>
      <c r="E19" s="35" t="s">
        <v>67</v>
      </c>
      <c r="F19" s="35" t="s">
        <v>315</v>
      </c>
      <c r="G19" s="2" t="s">
        <v>716</v>
      </c>
      <c r="H19" s="2" t="str">
        <f t="shared" si="0"/>
        <v>Semi-Conductor</v>
      </c>
      <c r="I19" s="28"/>
      <c r="J19" s="28" t="s">
        <v>107</v>
      </c>
      <c r="K19" s="2" t="str">
        <f t="shared" ca="1" si="1"/>
        <v>Minor Change</v>
      </c>
      <c r="L19" s="2" t="str">
        <f t="shared" ca="1" si="2"/>
        <v>Vinod Ghatge</v>
      </c>
      <c r="M19" s="2" t="str">
        <f t="shared" ca="1" si="5"/>
        <v>Diamond</v>
      </c>
      <c r="N19" s="35" t="s">
        <v>247</v>
      </c>
      <c r="O19" s="29">
        <v>44378</v>
      </c>
      <c r="P19" s="29">
        <v>45199</v>
      </c>
      <c r="Q19" s="50" t="str">
        <f t="shared" ca="1" si="3"/>
        <v>Phase 0</v>
      </c>
      <c r="R19" s="29"/>
      <c r="S19" s="29"/>
      <c r="T19" s="29"/>
      <c r="U19" s="51" t="str">
        <f t="shared" ca="1" si="6"/>
        <v>On-Hold</v>
      </c>
      <c r="V19" s="28" t="s">
        <v>153</v>
      </c>
      <c r="W19" s="35" t="s">
        <v>229</v>
      </c>
    </row>
    <row r="20" spans="1:24" customFormat="1" ht="24.75" customHeight="1">
      <c r="A20" s="14">
        <v>19</v>
      </c>
      <c r="B20" s="2" t="s">
        <v>66</v>
      </c>
      <c r="C20" s="28" t="str">
        <f t="shared" si="4"/>
        <v>Test Stand Development</v>
      </c>
      <c r="D20" s="4" t="s">
        <v>1</v>
      </c>
      <c r="E20" s="4" t="s">
        <v>254</v>
      </c>
      <c r="F20" s="4" t="s">
        <v>180</v>
      </c>
      <c r="G20" s="2" t="s">
        <v>717</v>
      </c>
      <c r="H20" s="2" t="str">
        <f t="shared" si="0"/>
        <v>Semi-Conductor</v>
      </c>
      <c r="I20" s="2"/>
      <c r="J20" s="2" t="s">
        <v>107</v>
      </c>
      <c r="K20" s="2" t="str">
        <f t="shared" ca="1" si="1"/>
        <v>Minor Change</v>
      </c>
      <c r="L20" s="2" t="str">
        <f t="shared" ca="1" si="2"/>
        <v>Nitin Patil</v>
      </c>
      <c r="M20" s="2" t="str">
        <f t="shared" ca="1" si="5"/>
        <v>Silver</v>
      </c>
      <c r="N20" s="4" t="s">
        <v>112</v>
      </c>
      <c r="O20" s="16">
        <v>44378</v>
      </c>
      <c r="P20" s="17">
        <v>45746</v>
      </c>
      <c r="Q20" s="50" t="str">
        <f t="shared" ca="1" si="3"/>
        <v>Phase 5 - Production</v>
      </c>
      <c r="R20" s="17"/>
      <c r="S20" s="17"/>
      <c r="T20" s="17"/>
      <c r="U20" s="51" t="str">
        <f t="shared" ca="1" si="6"/>
        <v>In-Process</v>
      </c>
      <c r="V20" s="2" t="s">
        <v>154</v>
      </c>
      <c r="W20" s="4" t="s">
        <v>402</v>
      </c>
      <c r="X20" s="38"/>
    </row>
    <row r="21" spans="1:24" s="10" customFormat="1" ht="56.25" customHeight="1">
      <c r="A21" s="27">
        <v>20</v>
      </c>
      <c r="B21" s="28" t="s">
        <v>65</v>
      </c>
      <c r="C21" s="28" t="str">
        <f t="shared" si="4"/>
        <v>Test Stand Development</v>
      </c>
      <c r="D21" s="35" t="s">
        <v>1</v>
      </c>
      <c r="E21" s="35" t="s">
        <v>181</v>
      </c>
      <c r="F21" s="35" t="s">
        <v>64</v>
      </c>
      <c r="G21" s="2" t="s">
        <v>716</v>
      </c>
      <c r="H21" s="2" t="str">
        <f t="shared" si="0"/>
        <v>Semi-Conductor</v>
      </c>
      <c r="I21" s="28"/>
      <c r="J21" s="28" t="s">
        <v>107</v>
      </c>
      <c r="K21" s="2" t="str">
        <f t="shared" ca="1" si="1"/>
        <v>Minor Change</v>
      </c>
      <c r="L21" s="2" t="str">
        <f t="shared" ca="1" si="2"/>
        <v>Vinod Ghatge</v>
      </c>
      <c r="M21" s="2" t="str">
        <f t="shared" ca="1" si="5"/>
        <v>Gold</v>
      </c>
      <c r="N21" s="35" t="s">
        <v>111</v>
      </c>
      <c r="O21" s="29">
        <v>44344</v>
      </c>
      <c r="P21" s="29">
        <v>45199</v>
      </c>
      <c r="Q21" s="50" t="str">
        <f t="shared" ca="1" si="3"/>
        <v>Phase 3 - Detail design</v>
      </c>
      <c r="R21" s="29"/>
      <c r="S21" s="29"/>
      <c r="T21" s="29"/>
      <c r="U21" s="51" t="str">
        <f t="shared" ca="1" si="6"/>
        <v>In-Process</v>
      </c>
      <c r="V21" s="28" t="s">
        <v>153</v>
      </c>
      <c r="W21" s="35" t="s">
        <v>229</v>
      </c>
    </row>
    <row r="22" spans="1:24" s="10" customFormat="1" ht="30">
      <c r="A22" s="3">
        <v>21</v>
      </c>
      <c r="B22" s="2" t="s">
        <v>63</v>
      </c>
      <c r="C22" s="28" t="str">
        <f t="shared" si="4"/>
        <v>Test Stand Development</v>
      </c>
      <c r="D22" s="4" t="s">
        <v>1</v>
      </c>
      <c r="E22" s="4" t="s">
        <v>182</v>
      </c>
      <c r="F22" s="4" t="s">
        <v>62</v>
      </c>
      <c r="G22" s="2" t="s">
        <v>717</v>
      </c>
      <c r="H22" s="2" t="str">
        <f t="shared" si="0"/>
        <v>Semi-Conductor</v>
      </c>
      <c r="I22" s="2"/>
      <c r="J22" s="2" t="s">
        <v>107</v>
      </c>
      <c r="K22" s="2" t="str">
        <f t="shared" ca="1" si="1"/>
        <v>Complete New Product</v>
      </c>
      <c r="L22" s="2" t="str">
        <f t="shared" ca="1" si="2"/>
        <v>Nitin Patil</v>
      </c>
      <c r="M22" s="2" t="str">
        <f t="shared" ca="1" si="5"/>
        <v>Gold</v>
      </c>
      <c r="N22" s="4" t="s">
        <v>109</v>
      </c>
      <c r="O22" s="18" t="s">
        <v>159</v>
      </c>
      <c r="P22" s="16" t="s">
        <v>167</v>
      </c>
      <c r="Q22" s="50" t="str">
        <f t="shared" ca="1" si="3"/>
        <v>Phase 0</v>
      </c>
      <c r="R22" s="16"/>
      <c r="S22" s="16"/>
      <c r="T22" s="16"/>
      <c r="U22" s="51" t="str">
        <f t="shared" ca="1" si="6"/>
        <v>In-Process</v>
      </c>
      <c r="V22" s="2" t="s">
        <v>154</v>
      </c>
      <c r="W22" s="4" t="s">
        <v>162</v>
      </c>
    </row>
    <row r="23" spans="1:24" s="10" customFormat="1">
      <c r="A23" s="3">
        <v>22</v>
      </c>
      <c r="B23" s="2" t="s">
        <v>61</v>
      </c>
      <c r="C23" s="28" t="str">
        <f t="shared" si="4"/>
        <v>Test Stand Development</v>
      </c>
      <c r="D23" s="2" t="s">
        <v>1</v>
      </c>
      <c r="E23" s="4" t="s">
        <v>60</v>
      </c>
      <c r="F23" s="2" t="s">
        <v>59</v>
      </c>
      <c r="G23" s="2" t="s">
        <v>716</v>
      </c>
      <c r="H23" s="2" t="str">
        <f t="shared" si="0"/>
        <v>Semi-Conductor</v>
      </c>
      <c r="I23" s="2" t="s">
        <v>107</v>
      </c>
      <c r="J23" s="2" t="s">
        <v>107</v>
      </c>
      <c r="K23" s="2" t="str">
        <f t="shared" ca="1" si="1"/>
        <v>Major Change</v>
      </c>
      <c r="L23" s="2" t="str">
        <f t="shared" ca="1" si="2"/>
        <v>Nitin Patil</v>
      </c>
      <c r="M23" s="2" t="str">
        <f t="shared" ca="1" si="5"/>
        <v>Bronze</v>
      </c>
      <c r="N23" s="4" t="s">
        <v>109</v>
      </c>
      <c r="O23" s="18" t="s">
        <v>159</v>
      </c>
      <c r="P23" s="16" t="s">
        <v>167</v>
      </c>
      <c r="Q23" s="50" t="str">
        <f t="shared" ca="1" si="3"/>
        <v>Phase 0</v>
      </c>
      <c r="R23" s="16"/>
      <c r="S23" s="16"/>
      <c r="T23" s="16"/>
      <c r="U23" s="51" t="str">
        <f t="shared" ca="1" si="6"/>
        <v>Killed</v>
      </c>
      <c r="V23" s="2" t="s">
        <v>154</v>
      </c>
      <c r="W23" s="4" t="s">
        <v>162</v>
      </c>
    </row>
    <row r="24" spans="1:24" customFormat="1" ht="30">
      <c r="A24" s="14">
        <v>23</v>
      </c>
      <c r="B24" s="2" t="s">
        <v>58</v>
      </c>
      <c r="C24" s="28" t="str">
        <f t="shared" si="4"/>
        <v>Test Stand Development</v>
      </c>
      <c r="D24" s="2" t="s">
        <v>1</v>
      </c>
      <c r="E24" s="4" t="s">
        <v>57</v>
      </c>
      <c r="F24" s="4" t="s">
        <v>183</v>
      </c>
      <c r="G24" s="2" t="s">
        <v>717</v>
      </c>
      <c r="H24" s="2" t="str">
        <f t="shared" si="0"/>
        <v>Semi-Conductor</v>
      </c>
      <c r="I24" s="2" t="s">
        <v>107</v>
      </c>
      <c r="J24" s="2" t="s">
        <v>107</v>
      </c>
      <c r="K24" s="2" t="str">
        <f t="shared" ca="1" si="1"/>
        <v>Complete New Product</v>
      </c>
      <c r="L24" s="2" t="str">
        <f t="shared" ca="1" si="2"/>
        <v>Krishna Rashtrakut</v>
      </c>
      <c r="M24" s="2" t="str">
        <f t="shared" ca="1" si="5"/>
        <v>Platinum</v>
      </c>
      <c r="N24" s="4" t="s">
        <v>255</v>
      </c>
      <c r="O24" s="21" t="s">
        <v>159</v>
      </c>
      <c r="P24" s="16" t="s">
        <v>167</v>
      </c>
      <c r="Q24" s="50" t="str">
        <f t="shared" ca="1" si="3"/>
        <v>Phase 4 - Validation</v>
      </c>
      <c r="R24" s="16"/>
      <c r="S24" s="16"/>
      <c r="T24" s="16"/>
      <c r="U24" s="51" t="str">
        <f t="shared" ca="1" si="6"/>
        <v>On-Hold</v>
      </c>
      <c r="V24" s="2" t="s">
        <v>154</v>
      </c>
      <c r="W24" s="4" t="s">
        <v>307</v>
      </c>
      <c r="X24" s="38"/>
    </row>
    <row r="25" spans="1:24" s="10" customFormat="1" ht="30">
      <c r="A25" s="3">
        <v>24</v>
      </c>
      <c r="B25" s="2" t="s">
        <v>56</v>
      </c>
      <c r="C25" s="28" t="str">
        <f t="shared" si="4"/>
        <v>Test Stand Development</v>
      </c>
      <c r="D25" s="39" t="s">
        <v>1</v>
      </c>
      <c r="E25" s="4" t="s">
        <v>256</v>
      </c>
      <c r="F25" s="4" t="s">
        <v>184</v>
      </c>
      <c r="G25" s="2" t="s">
        <v>716</v>
      </c>
      <c r="H25" s="2" t="str">
        <f t="shared" si="0"/>
        <v>Semi-Conductor</v>
      </c>
      <c r="I25" s="2" t="s">
        <v>107</v>
      </c>
      <c r="J25" s="2" t="s">
        <v>107</v>
      </c>
      <c r="K25" s="2" t="str">
        <f t="shared" ca="1" si="1"/>
        <v>Major Change</v>
      </c>
      <c r="L25" s="2" t="str">
        <f t="shared" ca="1" si="2"/>
        <v>Vinod Ghatge</v>
      </c>
      <c r="M25" s="2" t="str">
        <f t="shared" ca="1" si="5"/>
        <v>Platinum</v>
      </c>
      <c r="N25" s="4" t="s">
        <v>112</v>
      </c>
      <c r="O25" s="16">
        <v>43800</v>
      </c>
      <c r="P25" s="17">
        <v>45736</v>
      </c>
      <c r="Q25" s="50" t="str">
        <f t="shared" ca="1" si="3"/>
        <v>Phase 2 - Concept development</v>
      </c>
      <c r="R25" s="17"/>
      <c r="S25" s="17"/>
      <c r="T25" s="17"/>
      <c r="U25" s="51" t="str">
        <f t="shared" ca="1" si="6"/>
        <v>Killed</v>
      </c>
      <c r="V25" s="2" t="s">
        <v>153</v>
      </c>
      <c r="W25" s="4" t="s">
        <v>163</v>
      </c>
    </row>
    <row r="26" spans="1:24" s="10" customFormat="1" ht="30">
      <c r="A26" s="56">
        <v>25</v>
      </c>
      <c r="B26" s="60" t="s">
        <v>55</v>
      </c>
      <c r="C26" s="28" t="str">
        <f t="shared" si="4"/>
        <v>Test Stand Development</v>
      </c>
      <c r="D26" s="60" t="s">
        <v>1</v>
      </c>
      <c r="E26" s="61" t="s">
        <v>280</v>
      </c>
      <c r="F26" s="61" t="s">
        <v>185</v>
      </c>
      <c r="G26" s="2" t="s">
        <v>717</v>
      </c>
      <c r="H26" s="2" t="str">
        <f t="shared" si="0"/>
        <v>Semi-Conductor</v>
      </c>
      <c r="I26" s="60" t="s">
        <v>107</v>
      </c>
      <c r="J26" s="60" t="s">
        <v>107</v>
      </c>
      <c r="K26" s="2" t="str">
        <f t="shared" ca="1" si="1"/>
        <v>Minor Change</v>
      </c>
      <c r="L26" s="2" t="str">
        <f t="shared" ca="1" si="2"/>
        <v>Nitin Patil</v>
      </c>
      <c r="M26" s="2" t="str">
        <f t="shared" ca="1" si="5"/>
        <v>Gold</v>
      </c>
      <c r="N26" s="61" t="s">
        <v>279</v>
      </c>
      <c r="O26" s="62">
        <v>44926</v>
      </c>
      <c r="P26" s="62"/>
      <c r="Q26" s="50" t="str">
        <f t="shared" ca="1" si="3"/>
        <v>Phase 0</v>
      </c>
      <c r="R26" s="62"/>
      <c r="S26" s="62"/>
      <c r="T26" s="62"/>
      <c r="U26" s="51" t="str">
        <f t="shared" ca="1" si="6"/>
        <v>In-Process</v>
      </c>
      <c r="V26" s="60" t="s">
        <v>154</v>
      </c>
      <c r="W26" s="61" t="s">
        <v>156</v>
      </c>
    </row>
    <row r="27" spans="1:24" s="10" customFormat="1" ht="30">
      <c r="A27" s="3">
        <v>26</v>
      </c>
      <c r="B27" s="2" t="s">
        <v>54</v>
      </c>
      <c r="C27" s="28" t="str">
        <f t="shared" si="4"/>
        <v>Test Stand Development</v>
      </c>
      <c r="D27" s="2" t="s">
        <v>1</v>
      </c>
      <c r="E27" s="4" t="s">
        <v>53</v>
      </c>
      <c r="F27" s="4" t="s">
        <v>184</v>
      </c>
      <c r="G27" s="2" t="s">
        <v>716</v>
      </c>
      <c r="H27" s="2" t="str">
        <f t="shared" si="0"/>
        <v>Semi-Conductor</v>
      </c>
      <c r="I27" s="2" t="s">
        <v>107</v>
      </c>
      <c r="J27" s="2" t="s">
        <v>107</v>
      </c>
      <c r="K27" s="2" t="str">
        <f t="shared" ca="1" si="1"/>
        <v>Major Change</v>
      </c>
      <c r="L27" s="2" t="str">
        <f t="shared" ca="1" si="2"/>
        <v>Nitin Patil</v>
      </c>
      <c r="M27" s="2" t="str">
        <f t="shared" ca="1" si="5"/>
        <v>Gold</v>
      </c>
      <c r="N27" s="4" t="s">
        <v>109</v>
      </c>
      <c r="O27" s="21" t="s">
        <v>159</v>
      </c>
      <c r="P27" s="16" t="s">
        <v>167</v>
      </c>
      <c r="Q27" s="50" t="str">
        <f t="shared" ca="1" si="3"/>
        <v>Phase 1 - Definition</v>
      </c>
      <c r="R27" s="16"/>
      <c r="S27" s="16"/>
      <c r="T27" s="16"/>
      <c r="U27" s="51" t="str">
        <f t="shared" ca="1" si="6"/>
        <v>Killed</v>
      </c>
      <c r="V27" s="2" t="s">
        <v>154</v>
      </c>
      <c r="W27" s="4" t="s">
        <v>156</v>
      </c>
    </row>
    <row r="28" spans="1:24" s="10" customFormat="1">
      <c r="A28" s="63">
        <v>27</v>
      </c>
      <c r="B28" s="28" t="s">
        <v>52</v>
      </c>
      <c r="C28" s="28" t="str">
        <f t="shared" si="4"/>
        <v>Test Stand Development</v>
      </c>
      <c r="D28" s="28" t="s">
        <v>1</v>
      </c>
      <c r="E28" s="35" t="s">
        <v>51</v>
      </c>
      <c r="F28" s="35" t="s">
        <v>186</v>
      </c>
      <c r="G28" s="2" t="s">
        <v>717</v>
      </c>
      <c r="H28" s="2" t="str">
        <f t="shared" si="0"/>
        <v>Semi-Conductor</v>
      </c>
      <c r="I28" s="28" t="s">
        <v>107</v>
      </c>
      <c r="J28" s="28" t="s">
        <v>107</v>
      </c>
      <c r="K28" s="2" t="str">
        <f t="shared" ca="1" si="1"/>
        <v>Complete New Product</v>
      </c>
      <c r="L28" s="2" t="str">
        <f t="shared" ca="1" si="2"/>
        <v>Nitin Patil</v>
      </c>
      <c r="M28" s="2" t="str">
        <f t="shared" ca="1" si="5"/>
        <v>Diamond</v>
      </c>
      <c r="N28" s="35" t="s">
        <v>111</v>
      </c>
      <c r="O28" s="29">
        <v>44409</v>
      </c>
      <c r="P28" s="29">
        <v>45291</v>
      </c>
      <c r="Q28" s="50" t="str">
        <f t="shared" ca="1" si="3"/>
        <v>Phase 3 - Detail design</v>
      </c>
      <c r="R28" s="29"/>
      <c r="S28" s="29"/>
      <c r="T28" s="29"/>
      <c r="U28" s="51" t="str">
        <f t="shared" ca="1" si="6"/>
        <v>On-Hold</v>
      </c>
      <c r="V28" s="28" t="s">
        <v>153</v>
      </c>
      <c r="W28" s="35" t="s">
        <v>499</v>
      </c>
    </row>
    <row r="29" spans="1:24" s="10" customFormat="1" ht="45">
      <c r="A29" s="27">
        <v>28</v>
      </c>
      <c r="B29" s="28" t="s">
        <v>50</v>
      </c>
      <c r="C29" s="28" t="str">
        <f t="shared" si="4"/>
        <v>Test Stand Development</v>
      </c>
      <c r="D29" s="28" t="s">
        <v>1</v>
      </c>
      <c r="E29" s="35" t="s">
        <v>382</v>
      </c>
      <c r="F29" s="35" t="s">
        <v>187</v>
      </c>
      <c r="G29" s="2" t="s">
        <v>716</v>
      </c>
      <c r="H29" s="2" t="str">
        <f t="shared" si="0"/>
        <v>Semi-Conductor</v>
      </c>
      <c r="I29" s="28" t="s">
        <v>107</v>
      </c>
      <c r="J29" s="28" t="s">
        <v>107</v>
      </c>
      <c r="K29" s="2" t="str">
        <f t="shared" ca="1" si="1"/>
        <v>Minor Change</v>
      </c>
      <c r="L29" s="2" t="str">
        <f t="shared" ca="1" si="2"/>
        <v>Krishna Rashtrakut</v>
      </c>
      <c r="M29" s="2" t="str">
        <f t="shared" ca="1" si="5"/>
        <v>Platinum</v>
      </c>
      <c r="N29" s="35" t="s">
        <v>214</v>
      </c>
      <c r="O29" s="29">
        <v>43800</v>
      </c>
      <c r="P29" s="29">
        <v>45199</v>
      </c>
      <c r="Q29" s="50" t="str">
        <f t="shared" ca="1" si="3"/>
        <v>Phase 1 - Definition</v>
      </c>
      <c r="R29" s="29"/>
      <c r="S29" s="29"/>
      <c r="T29" s="29"/>
      <c r="U29" s="51" t="str">
        <f t="shared" ca="1" si="6"/>
        <v>Killed</v>
      </c>
      <c r="V29" s="28" t="s">
        <v>229</v>
      </c>
      <c r="W29" s="35" t="s">
        <v>429</v>
      </c>
    </row>
    <row r="30" spans="1:24" s="10" customFormat="1" ht="58.5" customHeight="1">
      <c r="A30" s="27">
        <v>29</v>
      </c>
      <c r="B30" s="28" t="s">
        <v>113</v>
      </c>
      <c r="C30" s="28" t="str">
        <f t="shared" si="4"/>
        <v>Test Stand Development</v>
      </c>
      <c r="D30" s="28" t="s">
        <v>1</v>
      </c>
      <c r="E30" s="35" t="s">
        <v>384</v>
      </c>
      <c r="F30" s="35" t="s">
        <v>188</v>
      </c>
      <c r="G30" s="2" t="s">
        <v>717</v>
      </c>
      <c r="H30" s="2" t="str">
        <f t="shared" si="0"/>
        <v>Semi-Conductor</v>
      </c>
      <c r="I30" s="35" t="s">
        <v>296</v>
      </c>
      <c r="J30" s="28" t="s">
        <v>107</v>
      </c>
      <c r="K30" s="2" t="str">
        <f t="shared" ca="1" si="1"/>
        <v>Minor Change</v>
      </c>
      <c r="L30" s="2" t="str">
        <f t="shared" ca="1" si="2"/>
        <v>Vinod Ghatge</v>
      </c>
      <c r="M30" s="2" t="str">
        <f t="shared" ca="1" si="5"/>
        <v>Platinum</v>
      </c>
      <c r="N30" s="35" t="s">
        <v>111</v>
      </c>
      <c r="O30" s="29">
        <v>44396</v>
      </c>
      <c r="P30" s="29">
        <v>45199</v>
      </c>
      <c r="Q30" s="50" t="str">
        <f t="shared" ca="1" si="3"/>
        <v>Phase 4 - Validation</v>
      </c>
      <c r="R30" s="29"/>
      <c r="S30" s="29"/>
      <c r="T30" s="29"/>
      <c r="U30" s="51" t="str">
        <f t="shared" ca="1" si="6"/>
        <v>In-Process</v>
      </c>
      <c r="V30" s="28" t="s">
        <v>153</v>
      </c>
      <c r="W30" s="35" t="s">
        <v>305</v>
      </c>
    </row>
    <row r="31" spans="1:24" s="10" customFormat="1" ht="30">
      <c r="A31" s="56">
        <v>30</v>
      </c>
      <c r="B31" s="60" t="s">
        <v>48</v>
      </c>
      <c r="C31" s="28" t="str">
        <f t="shared" si="4"/>
        <v>Product Development</v>
      </c>
      <c r="D31" s="61" t="s">
        <v>8</v>
      </c>
      <c r="E31" s="61" t="s">
        <v>164</v>
      </c>
      <c r="F31" s="61" t="s">
        <v>407</v>
      </c>
      <c r="G31" s="2" t="s">
        <v>716</v>
      </c>
      <c r="H31" s="2" t="str">
        <f t="shared" si="0"/>
        <v>Govt Railways - Loco</v>
      </c>
      <c r="I31" s="61" t="s">
        <v>47</v>
      </c>
      <c r="J31" s="60" t="s">
        <v>107</v>
      </c>
      <c r="K31" s="2" t="str">
        <f t="shared" ca="1" si="1"/>
        <v>Complete New Product</v>
      </c>
      <c r="L31" s="2" t="str">
        <f t="shared" ca="1" si="2"/>
        <v>Vinod Ghatge</v>
      </c>
      <c r="M31" s="2" t="str">
        <f t="shared" ca="1" si="5"/>
        <v>Bronze</v>
      </c>
      <c r="N31" s="61" t="s">
        <v>226</v>
      </c>
      <c r="O31" s="64" t="s">
        <v>159</v>
      </c>
      <c r="P31" s="62" t="s">
        <v>167</v>
      </c>
      <c r="Q31" s="50" t="str">
        <f t="shared" ca="1" si="3"/>
        <v>Phase 1 - Definition</v>
      </c>
      <c r="R31" s="62"/>
      <c r="S31" s="62"/>
      <c r="T31" s="62"/>
      <c r="U31" s="51" t="str">
        <f t="shared" ca="1" si="6"/>
        <v>In-Process</v>
      </c>
      <c r="V31" s="60" t="s">
        <v>153</v>
      </c>
      <c r="W31" s="61" t="s">
        <v>227</v>
      </c>
    </row>
    <row r="32" spans="1:24" s="10" customFormat="1">
      <c r="A32" s="52">
        <v>31</v>
      </c>
      <c r="B32" s="60" t="s">
        <v>46</v>
      </c>
      <c r="C32" s="28" t="str">
        <f t="shared" si="4"/>
        <v>Product Development</v>
      </c>
      <c r="D32" s="61" t="s">
        <v>8</v>
      </c>
      <c r="E32" s="61" t="s">
        <v>128</v>
      </c>
      <c r="F32" s="61" t="s">
        <v>127</v>
      </c>
      <c r="G32" s="2" t="s">
        <v>717</v>
      </c>
      <c r="H32" s="2" t="str">
        <f t="shared" si="0"/>
        <v>Govt Railways - Loco</v>
      </c>
      <c r="I32" s="60"/>
      <c r="J32" s="60" t="s">
        <v>107</v>
      </c>
      <c r="K32" s="2" t="str">
        <f t="shared" ca="1" si="1"/>
        <v>Minor Change</v>
      </c>
      <c r="L32" s="2" t="str">
        <f t="shared" ca="1" si="2"/>
        <v>Vinod Ghatge</v>
      </c>
      <c r="M32" s="2" t="str">
        <f t="shared" ca="1" si="5"/>
        <v>Gold</v>
      </c>
      <c r="N32" s="61" t="s">
        <v>226</v>
      </c>
      <c r="O32" s="64" t="s">
        <v>159</v>
      </c>
      <c r="P32" s="62" t="s">
        <v>167</v>
      </c>
      <c r="Q32" s="50" t="str">
        <f t="shared" ca="1" si="3"/>
        <v>Phase 5 - Production</v>
      </c>
      <c r="R32" s="62"/>
      <c r="S32" s="62"/>
      <c r="T32" s="62"/>
      <c r="U32" s="51" t="str">
        <f t="shared" ca="1" si="6"/>
        <v>In-Process</v>
      </c>
      <c r="V32" s="60" t="s">
        <v>154</v>
      </c>
      <c r="W32" s="61" t="s">
        <v>156</v>
      </c>
    </row>
    <row r="33" spans="1:23" s="10" customFormat="1">
      <c r="A33" s="56">
        <v>32</v>
      </c>
      <c r="B33" s="60" t="s">
        <v>45</v>
      </c>
      <c r="C33" s="28" t="str">
        <f t="shared" si="4"/>
        <v>Product Development</v>
      </c>
      <c r="D33" s="61" t="s">
        <v>8</v>
      </c>
      <c r="E33" s="61" t="s">
        <v>118</v>
      </c>
      <c r="F33" s="61" t="s">
        <v>129</v>
      </c>
      <c r="G33" s="2" t="s">
        <v>716</v>
      </c>
      <c r="H33" s="2" t="str">
        <f t="shared" si="0"/>
        <v>Govt Railways - Loco</v>
      </c>
      <c r="I33" s="60"/>
      <c r="J33" s="60" t="s">
        <v>107</v>
      </c>
      <c r="K33" s="2" t="str">
        <f t="shared" ca="1" si="1"/>
        <v>Minor Change</v>
      </c>
      <c r="L33" s="2" t="str">
        <f t="shared" ca="1" si="2"/>
        <v>Vinod Ghatge</v>
      </c>
      <c r="M33" s="2" t="str">
        <f t="shared" ca="1" si="5"/>
        <v>Gold</v>
      </c>
      <c r="N33" s="61" t="s">
        <v>226</v>
      </c>
      <c r="O33" s="64" t="s">
        <v>159</v>
      </c>
      <c r="P33" s="62" t="s">
        <v>167</v>
      </c>
      <c r="Q33" s="50" t="str">
        <f t="shared" ca="1" si="3"/>
        <v>Phase 3 - Detail design</v>
      </c>
      <c r="R33" s="62"/>
      <c r="S33" s="62"/>
      <c r="T33" s="62"/>
      <c r="U33" s="51" t="str">
        <f t="shared" ca="1" si="6"/>
        <v>In-Process</v>
      </c>
      <c r="V33" s="60" t="s">
        <v>154</v>
      </c>
      <c r="W33" s="61" t="s">
        <v>156</v>
      </c>
    </row>
    <row r="34" spans="1:23" s="10" customFormat="1">
      <c r="A34" s="27">
        <v>33</v>
      </c>
      <c r="B34" s="28" t="s">
        <v>44</v>
      </c>
      <c r="C34" s="28" t="str">
        <f t="shared" si="4"/>
        <v>Product Development</v>
      </c>
      <c r="D34" s="35" t="s">
        <v>8</v>
      </c>
      <c r="E34" s="35" t="s">
        <v>119</v>
      </c>
      <c r="F34" s="35" t="s">
        <v>36</v>
      </c>
      <c r="G34" s="2" t="s">
        <v>717</v>
      </c>
      <c r="H34" s="2" t="str">
        <f t="shared" si="0"/>
        <v>Govt Railways - Loco</v>
      </c>
      <c r="I34" s="28"/>
      <c r="J34" s="28" t="s">
        <v>107</v>
      </c>
      <c r="K34" s="2" t="str">
        <f t="shared" ca="1" si="1"/>
        <v>Minor Change</v>
      </c>
      <c r="L34" s="2" t="str">
        <f t="shared" ca="1" si="2"/>
        <v>Praveen Patil</v>
      </c>
      <c r="M34" s="2" t="str">
        <f t="shared" ca="1" si="5"/>
        <v>Diamond</v>
      </c>
      <c r="N34" s="35" t="s">
        <v>226</v>
      </c>
      <c r="O34" s="29">
        <v>44532</v>
      </c>
      <c r="P34" s="29" t="s">
        <v>167</v>
      </c>
      <c r="Q34" s="50" t="str">
        <f t="shared" ca="1" si="3"/>
        <v>Phase 1 - Definition</v>
      </c>
      <c r="R34" s="29"/>
      <c r="S34" s="29"/>
      <c r="T34" s="29"/>
      <c r="U34" s="51" t="str">
        <f t="shared" ca="1" si="6"/>
        <v>Killed</v>
      </c>
      <c r="V34" s="28" t="s">
        <v>154</v>
      </c>
      <c r="W34" s="35" t="s">
        <v>229</v>
      </c>
    </row>
    <row r="35" spans="1:23" s="10" customFormat="1">
      <c r="A35" s="27">
        <v>34</v>
      </c>
      <c r="B35" s="28" t="s">
        <v>43</v>
      </c>
      <c r="C35" s="28" t="str">
        <f t="shared" si="4"/>
        <v>Product Development</v>
      </c>
      <c r="D35" s="35" t="s">
        <v>8</v>
      </c>
      <c r="E35" s="35" t="s">
        <v>120</v>
      </c>
      <c r="F35" s="35" t="s">
        <v>36</v>
      </c>
      <c r="G35" s="2" t="s">
        <v>716</v>
      </c>
      <c r="H35" s="2" t="str">
        <f t="shared" si="0"/>
        <v>Govt Railways - Loco</v>
      </c>
      <c r="I35" s="28"/>
      <c r="J35" s="28" t="s">
        <v>107</v>
      </c>
      <c r="K35" s="2" t="str">
        <f t="shared" ca="1" si="1"/>
        <v>Complete New Product</v>
      </c>
      <c r="L35" s="2" t="str">
        <f t="shared" ca="1" si="2"/>
        <v>Vinod Ghatge</v>
      </c>
      <c r="M35" s="2" t="str">
        <f t="shared" ca="1" si="5"/>
        <v>Gold</v>
      </c>
      <c r="N35" s="35" t="s">
        <v>226</v>
      </c>
      <c r="O35" s="29">
        <v>44532</v>
      </c>
      <c r="P35" s="29" t="s">
        <v>167</v>
      </c>
      <c r="Q35" s="50" t="str">
        <f t="shared" ca="1" si="3"/>
        <v>Phase 2 - Concept development</v>
      </c>
      <c r="R35" s="29"/>
      <c r="S35" s="29"/>
      <c r="T35" s="29"/>
      <c r="U35" s="51" t="str">
        <f t="shared" ca="1" si="6"/>
        <v>On-Hold</v>
      </c>
      <c r="V35" s="28" t="s">
        <v>154</v>
      </c>
      <c r="W35" s="35" t="s">
        <v>229</v>
      </c>
    </row>
    <row r="36" spans="1:23" s="10" customFormat="1" ht="72" customHeight="1">
      <c r="A36" s="52">
        <v>35</v>
      </c>
      <c r="B36" s="60" t="s">
        <v>42</v>
      </c>
      <c r="C36" s="28" t="str">
        <f t="shared" si="4"/>
        <v>Product Development</v>
      </c>
      <c r="D36" s="61" t="s">
        <v>8</v>
      </c>
      <c r="E36" s="61" t="s">
        <v>190</v>
      </c>
      <c r="F36" s="61" t="s">
        <v>191</v>
      </c>
      <c r="G36" s="2" t="s">
        <v>717</v>
      </c>
      <c r="H36" s="2" t="str">
        <f t="shared" si="0"/>
        <v>Govt Railways - Loco</v>
      </c>
      <c r="I36" s="60"/>
      <c r="J36" s="60" t="s">
        <v>107</v>
      </c>
      <c r="K36" s="2" t="str">
        <f t="shared" ca="1" si="1"/>
        <v>Complete New Product</v>
      </c>
      <c r="L36" s="2" t="str">
        <f t="shared" ca="1" si="2"/>
        <v>Nitin Patil</v>
      </c>
      <c r="M36" s="2" t="str">
        <f t="shared" ca="1" si="5"/>
        <v>Gold</v>
      </c>
      <c r="N36" s="61" t="s">
        <v>226</v>
      </c>
      <c r="O36" s="62" t="s">
        <v>158</v>
      </c>
      <c r="P36" s="62" t="s">
        <v>167</v>
      </c>
      <c r="Q36" s="50" t="str">
        <f t="shared" ca="1" si="3"/>
        <v>Phase 2 - Concept development</v>
      </c>
      <c r="R36" s="62"/>
      <c r="S36" s="62"/>
      <c r="T36" s="62"/>
      <c r="U36" s="51" t="str">
        <f t="shared" ca="1" si="6"/>
        <v>In-Process</v>
      </c>
      <c r="V36" s="60" t="s">
        <v>154</v>
      </c>
      <c r="W36" s="61" t="s">
        <v>209</v>
      </c>
    </row>
    <row r="37" spans="1:23" s="10" customFormat="1" ht="75">
      <c r="A37" s="56">
        <v>36</v>
      </c>
      <c r="B37" s="60" t="s">
        <v>41</v>
      </c>
      <c r="C37" s="28" t="str">
        <f t="shared" si="4"/>
        <v>Product Development</v>
      </c>
      <c r="D37" s="61" t="s">
        <v>8</v>
      </c>
      <c r="E37" s="61" t="s">
        <v>192</v>
      </c>
      <c r="F37" s="61" t="s">
        <v>193</v>
      </c>
      <c r="G37" s="2" t="s">
        <v>716</v>
      </c>
      <c r="H37" s="2" t="str">
        <f t="shared" si="0"/>
        <v>Govt Railways - Loco</v>
      </c>
      <c r="I37" s="60"/>
      <c r="J37" s="60" t="s">
        <v>107</v>
      </c>
      <c r="K37" s="2" t="str">
        <f t="shared" ca="1" si="1"/>
        <v>Major Change</v>
      </c>
      <c r="L37" s="2" t="str">
        <f t="shared" ca="1" si="2"/>
        <v>Vinod Ghatge</v>
      </c>
      <c r="M37" s="2" t="str">
        <f t="shared" ca="1" si="5"/>
        <v>Diamond</v>
      </c>
      <c r="N37" s="61" t="s">
        <v>226</v>
      </c>
      <c r="O37" s="62" t="s">
        <v>158</v>
      </c>
      <c r="P37" s="62" t="s">
        <v>167</v>
      </c>
      <c r="Q37" s="50" t="str">
        <f t="shared" ca="1" si="3"/>
        <v>Phase 1 - Definition</v>
      </c>
      <c r="R37" s="62"/>
      <c r="S37" s="62"/>
      <c r="T37" s="62"/>
      <c r="U37" s="51" t="str">
        <f t="shared" ca="1" si="6"/>
        <v>In-Process</v>
      </c>
      <c r="V37" s="60" t="s">
        <v>154</v>
      </c>
      <c r="W37" s="61" t="s">
        <v>189</v>
      </c>
    </row>
    <row r="38" spans="1:23" s="10" customFormat="1">
      <c r="A38" s="27">
        <v>37</v>
      </c>
      <c r="B38" s="28" t="s">
        <v>40</v>
      </c>
      <c r="C38" s="28" t="str">
        <f t="shared" si="4"/>
        <v>Product Development</v>
      </c>
      <c r="D38" s="35" t="s">
        <v>8</v>
      </c>
      <c r="E38" s="35" t="s">
        <v>121</v>
      </c>
      <c r="F38" s="35" t="s">
        <v>36</v>
      </c>
      <c r="G38" s="2" t="s">
        <v>717</v>
      </c>
      <c r="H38" s="2" t="str">
        <f t="shared" si="0"/>
        <v>Govt Railways - Loco</v>
      </c>
      <c r="I38" s="28"/>
      <c r="J38" s="28" t="s">
        <v>107</v>
      </c>
      <c r="K38" s="2" t="str">
        <f t="shared" ca="1" si="1"/>
        <v>Major Change</v>
      </c>
      <c r="L38" s="2" t="str">
        <f t="shared" ca="1" si="2"/>
        <v>Vinod Ghatge</v>
      </c>
      <c r="M38" s="2" t="str">
        <f t="shared" ca="1" si="5"/>
        <v>Gold</v>
      </c>
      <c r="N38" s="35" t="s">
        <v>226</v>
      </c>
      <c r="O38" s="29">
        <v>44175</v>
      </c>
      <c r="P38" s="29">
        <v>45382</v>
      </c>
      <c r="Q38" s="50" t="str">
        <f t="shared" ca="1" si="3"/>
        <v>Phase 5 - Production</v>
      </c>
      <c r="R38" s="29"/>
      <c r="S38" s="29"/>
      <c r="T38" s="29"/>
      <c r="U38" s="51" t="str">
        <f t="shared" ca="1" si="6"/>
        <v>On-Hold</v>
      </c>
      <c r="V38" s="28" t="s">
        <v>154</v>
      </c>
      <c r="W38" s="35" t="s">
        <v>229</v>
      </c>
    </row>
    <row r="39" spans="1:23" s="10" customFormat="1" ht="72" customHeight="1">
      <c r="A39" s="27">
        <v>38</v>
      </c>
      <c r="B39" s="28" t="s">
        <v>39</v>
      </c>
      <c r="C39" s="28" t="str">
        <f t="shared" si="4"/>
        <v>Product Development</v>
      </c>
      <c r="D39" s="35" t="s">
        <v>8</v>
      </c>
      <c r="E39" s="35" t="s">
        <v>122</v>
      </c>
      <c r="F39" s="35" t="s">
        <v>36</v>
      </c>
      <c r="G39" s="2" t="s">
        <v>716</v>
      </c>
      <c r="H39" s="2" t="str">
        <f t="shared" si="0"/>
        <v>Govt Railways - Loco</v>
      </c>
      <c r="I39" s="28"/>
      <c r="J39" s="28" t="s">
        <v>107</v>
      </c>
      <c r="K39" s="2" t="str">
        <f t="shared" ca="1" si="1"/>
        <v>Major Change</v>
      </c>
      <c r="L39" s="2" t="str">
        <f t="shared" ca="1" si="2"/>
        <v>Praveen Patil</v>
      </c>
      <c r="M39" s="2" t="str">
        <f t="shared" ca="1" si="5"/>
        <v>Platinum</v>
      </c>
      <c r="N39" s="35" t="s">
        <v>226</v>
      </c>
      <c r="O39" s="29">
        <v>44175</v>
      </c>
      <c r="P39" s="29">
        <v>45382</v>
      </c>
      <c r="Q39" s="50" t="str">
        <f t="shared" ca="1" si="3"/>
        <v>Phase 2 - Concept development</v>
      </c>
      <c r="R39" s="29"/>
      <c r="S39" s="29"/>
      <c r="T39" s="29"/>
      <c r="U39" s="51" t="str">
        <f t="shared" ca="1" si="6"/>
        <v>Killed</v>
      </c>
      <c r="V39" s="28" t="s">
        <v>154</v>
      </c>
      <c r="W39" s="35" t="s">
        <v>229</v>
      </c>
    </row>
    <row r="40" spans="1:23" s="10" customFormat="1">
      <c r="A40" s="63">
        <v>39</v>
      </c>
      <c r="B40" s="28" t="s">
        <v>38</v>
      </c>
      <c r="C40" s="28" t="str">
        <f t="shared" si="4"/>
        <v>Product Development</v>
      </c>
      <c r="D40" s="35" t="s">
        <v>8</v>
      </c>
      <c r="E40" s="35" t="s">
        <v>123</v>
      </c>
      <c r="F40" s="35" t="s">
        <v>36</v>
      </c>
      <c r="G40" s="2" t="s">
        <v>717</v>
      </c>
      <c r="H40" s="2" t="str">
        <f t="shared" si="0"/>
        <v>Govt Railways - Loco</v>
      </c>
      <c r="I40" s="28"/>
      <c r="J40" s="28" t="s">
        <v>107</v>
      </c>
      <c r="K40" s="2" t="str">
        <f t="shared" ca="1" si="1"/>
        <v>Complete New Product</v>
      </c>
      <c r="L40" s="2" t="str">
        <f t="shared" ca="1" si="2"/>
        <v>Nitin Patil</v>
      </c>
      <c r="M40" s="2" t="str">
        <f t="shared" ca="1" si="5"/>
        <v>Bronze</v>
      </c>
      <c r="N40" s="35" t="s">
        <v>226</v>
      </c>
      <c r="O40" s="29">
        <v>44175</v>
      </c>
      <c r="P40" s="29">
        <v>45382</v>
      </c>
      <c r="Q40" s="50" t="str">
        <f t="shared" ca="1" si="3"/>
        <v>Phase 4 - Validation</v>
      </c>
      <c r="R40" s="29"/>
      <c r="S40" s="29"/>
      <c r="T40" s="29"/>
      <c r="U40" s="51" t="str">
        <f t="shared" ca="1" si="6"/>
        <v>In-Process</v>
      </c>
      <c r="V40" s="28" t="s">
        <v>154</v>
      </c>
      <c r="W40" s="35" t="s">
        <v>229</v>
      </c>
    </row>
    <row r="41" spans="1:23" s="10" customFormat="1" ht="69.599999999999994" customHeight="1">
      <c r="A41" s="27">
        <v>40</v>
      </c>
      <c r="B41" s="28" t="s">
        <v>37</v>
      </c>
      <c r="C41" s="28" t="str">
        <f t="shared" si="4"/>
        <v>Product Development</v>
      </c>
      <c r="D41" s="35" t="s">
        <v>8</v>
      </c>
      <c r="E41" s="35" t="s">
        <v>130</v>
      </c>
      <c r="F41" s="35" t="s">
        <v>131</v>
      </c>
      <c r="G41" s="2" t="s">
        <v>716</v>
      </c>
      <c r="H41" s="2" t="str">
        <f t="shared" si="0"/>
        <v>Govt Railways - Loco</v>
      </c>
      <c r="I41" s="28"/>
      <c r="J41" s="28" t="s">
        <v>107</v>
      </c>
      <c r="K41" s="2" t="str">
        <f t="shared" ca="1" si="1"/>
        <v>Major Change</v>
      </c>
      <c r="L41" s="2" t="str">
        <f t="shared" ca="1" si="2"/>
        <v>Nitin Patil</v>
      </c>
      <c r="M41" s="2" t="str">
        <f t="shared" ca="1" si="5"/>
        <v>Gold</v>
      </c>
      <c r="N41" s="35" t="s">
        <v>226</v>
      </c>
      <c r="O41" s="29">
        <v>44175</v>
      </c>
      <c r="P41" s="29">
        <v>45382</v>
      </c>
      <c r="Q41" s="50" t="str">
        <f t="shared" ca="1" si="3"/>
        <v>Phase 2 - Concept development</v>
      </c>
      <c r="R41" s="29"/>
      <c r="S41" s="29"/>
      <c r="T41" s="29"/>
      <c r="U41" s="51" t="str">
        <f t="shared" ca="1" si="6"/>
        <v>Killed</v>
      </c>
      <c r="V41" s="28" t="s">
        <v>154</v>
      </c>
      <c r="W41" s="35" t="s">
        <v>229</v>
      </c>
    </row>
    <row r="42" spans="1:23" s="10" customFormat="1" ht="63" customHeight="1">
      <c r="A42" s="56">
        <v>41</v>
      </c>
      <c r="B42" s="60" t="s">
        <v>35</v>
      </c>
      <c r="C42" s="28" t="str">
        <f t="shared" si="4"/>
        <v>Product Development</v>
      </c>
      <c r="D42" s="61" t="s">
        <v>8</v>
      </c>
      <c r="E42" s="61" t="s">
        <v>194</v>
      </c>
      <c r="F42" s="61" t="s">
        <v>195</v>
      </c>
      <c r="G42" s="2" t="s">
        <v>717</v>
      </c>
      <c r="H42" s="2" t="str">
        <f t="shared" si="0"/>
        <v>Govt Railways - Loco</v>
      </c>
      <c r="I42" s="60"/>
      <c r="J42" s="60" t="str">
        <f t="shared" ref="J42" si="7">$J$41</f>
        <v>NA</v>
      </c>
      <c r="K42" s="2" t="str">
        <f t="shared" ca="1" si="1"/>
        <v>Major Change</v>
      </c>
      <c r="L42" s="2" t="str">
        <f t="shared" ca="1" si="2"/>
        <v>Praveen Patil</v>
      </c>
      <c r="M42" s="2" t="str">
        <f t="shared" ca="1" si="5"/>
        <v>Gold</v>
      </c>
      <c r="N42" s="60" t="s">
        <v>226</v>
      </c>
      <c r="O42" s="62">
        <v>44367</v>
      </c>
      <c r="P42" s="62" t="s">
        <v>167</v>
      </c>
      <c r="Q42" s="50" t="str">
        <f t="shared" ca="1" si="3"/>
        <v>Phase 1 - Definition</v>
      </c>
      <c r="R42" s="62"/>
      <c r="S42" s="62"/>
      <c r="T42" s="62"/>
      <c r="U42" s="51" t="str">
        <f t="shared" ca="1" si="6"/>
        <v>In-Process</v>
      </c>
      <c r="V42" s="60" t="s">
        <v>156</v>
      </c>
      <c r="W42" s="61" t="s">
        <v>210</v>
      </c>
    </row>
    <row r="43" spans="1:23" s="10" customFormat="1" ht="30">
      <c r="A43" s="56">
        <v>42</v>
      </c>
      <c r="B43" s="60" t="s">
        <v>34</v>
      </c>
      <c r="C43" s="28" t="str">
        <f t="shared" si="4"/>
        <v>Product Development</v>
      </c>
      <c r="D43" s="61" t="s">
        <v>8</v>
      </c>
      <c r="E43" s="61" t="s">
        <v>33</v>
      </c>
      <c r="F43" s="61" t="s">
        <v>32</v>
      </c>
      <c r="G43" s="2" t="s">
        <v>716</v>
      </c>
      <c r="H43" s="2" t="str">
        <f t="shared" si="0"/>
        <v>Govt Railways - Loco</v>
      </c>
      <c r="I43" s="60" t="s">
        <v>7</v>
      </c>
      <c r="J43" s="60" t="s">
        <v>107</v>
      </c>
      <c r="K43" s="2" t="str">
        <f t="shared" ca="1" si="1"/>
        <v>Minor Change</v>
      </c>
      <c r="L43" s="2" t="str">
        <f t="shared" ca="1" si="2"/>
        <v>Praveen Patil</v>
      </c>
      <c r="M43" s="2" t="str">
        <f t="shared" ca="1" si="5"/>
        <v>Platinum</v>
      </c>
      <c r="N43" s="61" t="s">
        <v>226</v>
      </c>
      <c r="O43" s="62">
        <v>44166</v>
      </c>
      <c r="P43" s="62" t="s">
        <v>167</v>
      </c>
      <c r="Q43" s="50" t="str">
        <f t="shared" ca="1" si="3"/>
        <v>Phase 5 - Production</v>
      </c>
      <c r="R43" s="62"/>
      <c r="S43" s="62"/>
      <c r="T43" s="62"/>
      <c r="U43" s="51" t="str">
        <f t="shared" ca="1" si="6"/>
        <v>Killed</v>
      </c>
      <c r="V43" s="60" t="s">
        <v>153</v>
      </c>
      <c r="W43" s="61" t="s">
        <v>228</v>
      </c>
    </row>
    <row r="44" spans="1:23" s="10" customFormat="1" ht="60">
      <c r="A44" s="63">
        <v>43</v>
      </c>
      <c r="B44" s="28" t="s">
        <v>31</v>
      </c>
      <c r="C44" s="28" t="str">
        <f t="shared" si="4"/>
        <v>Product Development</v>
      </c>
      <c r="D44" s="35" t="s">
        <v>8</v>
      </c>
      <c r="E44" s="35" t="s">
        <v>124</v>
      </c>
      <c r="F44" s="35" t="s">
        <v>196</v>
      </c>
      <c r="G44" s="2" t="s">
        <v>717</v>
      </c>
      <c r="H44" s="2" t="str">
        <f t="shared" si="0"/>
        <v>Govt Railways - Loco</v>
      </c>
      <c r="I44" s="28" t="s">
        <v>7</v>
      </c>
      <c r="J44" s="28" t="s">
        <v>107</v>
      </c>
      <c r="K44" s="2" t="str">
        <f t="shared" ca="1" si="1"/>
        <v>Major Change</v>
      </c>
      <c r="L44" s="2" t="str">
        <f t="shared" ca="1" si="2"/>
        <v>Vinod Ghatge</v>
      </c>
      <c r="M44" s="2" t="str">
        <f t="shared" ca="1" si="5"/>
        <v>Gold</v>
      </c>
      <c r="N44" s="35" t="s">
        <v>226</v>
      </c>
      <c r="O44" s="29">
        <v>44407</v>
      </c>
      <c r="P44" s="29" t="s">
        <v>167</v>
      </c>
      <c r="Q44" s="50" t="str">
        <f t="shared" ca="1" si="3"/>
        <v>Phase 5 - Production</v>
      </c>
      <c r="R44" s="29"/>
      <c r="S44" s="29"/>
      <c r="T44" s="29"/>
      <c r="U44" s="51" t="str">
        <f t="shared" ca="1" si="6"/>
        <v>Killed</v>
      </c>
      <c r="V44" s="28" t="s">
        <v>229</v>
      </c>
      <c r="W44" s="35" t="s">
        <v>456</v>
      </c>
    </row>
    <row r="45" spans="1:23" s="10" customFormat="1">
      <c r="A45" s="56">
        <v>44</v>
      </c>
      <c r="B45" s="60" t="s">
        <v>30</v>
      </c>
      <c r="C45" s="28" t="str">
        <f t="shared" si="4"/>
        <v>Product Development</v>
      </c>
      <c r="D45" s="61" t="s">
        <v>8</v>
      </c>
      <c r="E45" s="61" t="s">
        <v>197</v>
      </c>
      <c r="F45" s="61" t="s">
        <v>29</v>
      </c>
      <c r="G45" s="2" t="s">
        <v>716</v>
      </c>
      <c r="H45" s="2" t="str">
        <f t="shared" si="0"/>
        <v>Govt Railways - Loco</v>
      </c>
      <c r="I45" s="60" t="s">
        <v>7</v>
      </c>
      <c r="J45" s="60" t="s">
        <v>107</v>
      </c>
      <c r="K45" s="2" t="str">
        <f t="shared" ca="1" si="1"/>
        <v>Major Change</v>
      </c>
      <c r="L45" s="2" t="str">
        <f t="shared" ca="1" si="2"/>
        <v>Nitin Patil</v>
      </c>
      <c r="M45" s="2" t="str">
        <f t="shared" ca="1" si="5"/>
        <v>Gold</v>
      </c>
      <c r="N45" s="61" t="s">
        <v>226</v>
      </c>
      <c r="O45" s="64" t="s">
        <v>159</v>
      </c>
      <c r="P45" s="62" t="s">
        <v>167</v>
      </c>
      <c r="Q45" s="50" t="str">
        <f t="shared" ca="1" si="3"/>
        <v>Phase 3 - Detail design</v>
      </c>
      <c r="R45" s="62"/>
      <c r="S45" s="62"/>
      <c r="T45" s="62"/>
      <c r="U45" s="51" t="str">
        <f t="shared" ca="1" si="6"/>
        <v>On-Hold</v>
      </c>
      <c r="V45" s="60" t="s">
        <v>154</v>
      </c>
      <c r="W45" s="61" t="s">
        <v>156</v>
      </c>
    </row>
    <row r="46" spans="1:23" s="10" customFormat="1" ht="14.45" customHeight="1">
      <c r="A46" s="56">
        <v>45</v>
      </c>
      <c r="B46" s="60" t="s">
        <v>28</v>
      </c>
      <c r="C46" s="28" t="str">
        <f t="shared" si="4"/>
        <v>Product Development</v>
      </c>
      <c r="D46" s="61" t="s">
        <v>8</v>
      </c>
      <c r="E46" s="61" t="s">
        <v>125</v>
      </c>
      <c r="F46" s="61" t="s">
        <v>165</v>
      </c>
      <c r="G46" s="2" t="s">
        <v>717</v>
      </c>
      <c r="H46" s="2" t="str">
        <f t="shared" si="0"/>
        <v>Govt Railways - Loco</v>
      </c>
      <c r="I46" s="60"/>
      <c r="J46" s="60" t="s">
        <v>107</v>
      </c>
      <c r="K46" s="2" t="str">
        <f t="shared" ca="1" si="1"/>
        <v>Major Change</v>
      </c>
      <c r="L46" s="2" t="str">
        <f t="shared" ca="1" si="2"/>
        <v>Praveen Patil</v>
      </c>
      <c r="M46" s="2" t="str">
        <f t="shared" ca="1" si="5"/>
        <v>Silver</v>
      </c>
      <c r="N46" s="61" t="s">
        <v>226</v>
      </c>
      <c r="O46" s="64" t="s">
        <v>159</v>
      </c>
      <c r="P46" s="62" t="s">
        <v>167</v>
      </c>
      <c r="Q46" s="50" t="str">
        <f t="shared" ca="1" si="3"/>
        <v>Phase 4 - Validation</v>
      </c>
      <c r="R46" s="62"/>
      <c r="S46" s="62"/>
      <c r="T46" s="62"/>
      <c r="U46" s="51" t="str">
        <f t="shared" ca="1" si="6"/>
        <v>In-Process</v>
      </c>
      <c r="V46" s="60" t="s">
        <v>154</v>
      </c>
      <c r="W46" s="61" t="s">
        <v>156</v>
      </c>
    </row>
    <row r="47" spans="1:23" s="10" customFormat="1">
      <c r="A47" s="56">
        <v>46</v>
      </c>
      <c r="B47" s="60" t="s">
        <v>27</v>
      </c>
      <c r="C47" s="28" t="str">
        <f t="shared" si="4"/>
        <v>Product Development</v>
      </c>
      <c r="D47" s="61" t="s">
        <v>8</v>
      </c>
      <c r="E47" s="61" t="s">
        <v>133</v>
      </c>
      <c r="F47" s="61" t="s">
        <v>26</v>
      </c>
      <c r="G47" s="2" t="s">
        <v>716</v>
      </c>
      <c r="H47" s="2" t="str">
        <f t="shared" si="0"/>
        <v>Govt Railways - Loco</v>
      </c>
      <c r="I47" s="60"/>
      <c r="J47" s="60" t="s">
        <v>107</v>
      </c>
      <c r="K47" s="2" t="str">
        <f t="shared" ca="1" si="1"/>
        <v>Major Change</v>
      </c>
      <c r="L47" s="2" t="str">
        <f t="shared" ca="1" si="2"/>
        <v>Nitin Patil</v>
      </c>
      <c r="M47" s="2" t="str">
        <f t="shared" ca="1" si="5"/>
        <v>Platinum</v>
      </c>
      <c r="N47" s="61" t="s">
        <v>226</v>
      </c>
      <c r="O47" s="62">
        <v>43983</v>
      </c>
      <c r="P47" s="62" t="s">
        <v>167</v>
      </c>
      <c r="Q47" s="50" t="str">
        <f t="shared" ca="1" si="3"/>
        <v>Phase 3 - Detail design</v>
      </c>
      <c r="R47" s="62"/>
      <c r="S47" s="62"/>
      <c r="T47" s="62"/>
      <c r="U47" s="51" t="str">
        <f t="shared" ca="1" si="6"/>
        <v>On-Hold</v>
      </c>
      <c r="V47" s="60" t="s">
        <v>154</v>
      </c>
      <c r="W47" s="61" t="s">
        <v>156</v>
      </c>
    </row>
    <row r="48" spans="1:23" s="10" customFormat="1" ht="45">
      <c r="A48" s="52">
        <v>47</v>
      </c>
      <c r="B48" s="60" t="s">
        <v>25</v>
      </c>
      <c r="C48" s="28" t="str">
        <f t="shared" si="4"/>
        <v>Product Development</v>
      </c>
      <c r="D48" s="61" t="s">
        <v>8</v>
      </c>
      <c r="E48" s="61" t="s">
        <v>24</v>
      </c>
      <c r="F48" s="61" t="s">
        <v>198</v>
      </c>
      <c r="G48" s="2" t="s">
        <v>717</v>
      </c>
      <c r="H48" s="2" t="str">
        <f t="shared" si="0"/>
        <v>Govt Railways - Loco</v>
      </c>
      <c r="I48" s="60"/>
      <c r="J48" s="60" t="s">
        <v>107</v>
      </c>
      <c r="K48" s="2" t="str">
        <f t="shared" ca="1" si="1"/>
        <v>Minor Change</v>
      </c>
      <c r="L48" s="2" t="str">
        <f t="shared" ca="1" si="2"/>
        <v>Vinod Ghatge</v>
      </c>
      <c r="M48" s="2" t="str">
        <f t="shared" ca="1" si="5"/>
        <v>Diamond</v>
      </c>
      <c r="N48" s="61" t="s">
        <v>226</v>
      </c>
      <c r="O48" s="62" t="s">
        <v>159</v>
      </c>
      <c r="P48" s="62" t="s">
        <v>107</v>
      </c>
      <c r="Q48" s="50" t="str">
        <f t="shared" ca="1" si="3"/>
        <v>Phase 1 - Definition</v>
      </c>
      <c r="R48" s="62"/>
      <c r="S48" s="62"/>
      <c r="T48" s="62"/>
      <c r="U48" s="51" t="str">
        <f t="shared" ca="1" si="6"/>
        <v>Killed</v>
      </c>
      <c r="V48" s="60" t="s">
        <v>154</v>
      </c>
      <c r="W48" s="61" t="s">
        <v>166</v>
      </c>
    </row>
    <row r="49" spans="1:24" s="10" customFormat="1" ht="30">
      <c r="A49" s="56">
        <v>48</v>
      </c>
      <c r="B49" s="60" t="s">
        <v>23</v>
      </c>
      <c r="C49" s="28" t="str">
        <f t="shared" si="4"/>
        <v>Product Development</v>
      </c>
      <c r="D49" s="61" t="s">
        <v>8</v>
      </c>
      <c r="E49" s="61" t="s">
        <v>22</v>
      </c>
      <c r="F49" s="61" t="s">
        <v>198</v>
      </c>
      <c r="G49" s="2" t="s">
        <v>716</v>
      </c>
      <c r="H49" s="2" t="str">
        <f t="shared" si="0"/>
        <v>Govt Railways - Loco</v>
      </c>
      <c r="I49" s="60"/>
      <c r="J49" s="60" t="s">
        <v>107</v>
      </c>
      <c r="K49" s="2" t="str">
        <f t="shared" ca="1" si="1"/>
        <v>Complete New Product</v>
      </c>
      <c r="L49" s="2" t="str">
        <f t="shared" ca="1" si="2"/>
        <v>Praveen Patil</v>
      </c>
      <c r="M49" s="2" t="str">
        <f t="shared" ca="1" si="5"/>
        <v>Silver</v>
      </c>
      <c r="N49" s="61" t="s">
        <v>226</v>
      </c>
      <c r="O49" s="64" t="s">
        <v>159</v>
      </c>
      <c r="P49" s="62" t="s">
        <v>167</v>
      </c>
      <c r="Q49" s="50" t="str">
        <f t="shared" ca="1" si="3"/>
        <v>Phase 2 - Concept development</v>
      </c>
      <c r="R49" s="62"/>
      <c r="S49" s="62"/>
      <c r="T49" s="62"/>
      <c r="U49" s="51" t="str">
        <f t="shared" ca="1" si="6"/>
        <v>On-Hold</v>
      </c>
      <c r="V49" s="60" t="s">
        <v>154</v>
      </c>
      <c r="W49" s="61" t="s">
        <v>174</v>
      </c>
    </row>
    <row r="50" spans="1:24" s="8" customFormat="1" ht="30">
      <c r="A50" s="56">
        <v>49</v>
      </c>
      <c r="B50" s="60" t="s">
        <v>21</v>
      </c>
      <c r="C50" s="28" t="str">
        <f t="shared" si="4"/>
        <v>Product Development</v>
      </c>
      <c r="D50" s="60" t="s">
        <v>8</v>
      </c>
      <c r="E50" s="61" t="s">
        <v>132</v>
      </c>
      <c r="F50" s="61" t="s">
        <v>20</v>
      </c>
      <c r="G50" s="2" t="s">
        <v>717</v>
      </c>
      <c r="H50" s="2" t="str">
        <f t="shared" si="0"/>
        <v>Govt Railways - Loco</v>
      </c>
      <c r="I50" s="60"/>
      <c r="J50" s="60" t="s">
        <v>107</v>
      </c>
      <c r="K50" s="2" t="str">
        <f t="shared" ca="1" si="1"/>
        <v>Complete New Product</v>
      </c>
      <c r="L50" s="2" t="str">
        <f t="shared" ca="1" si="2"/>
        <v>Krishna Rashtrakut</v>
      </c>
      <c r="M50" s="2" t="str">
        <f t="shared" ca="1" si="5"/>
        <v>Diamond</v>
      </c>
      <c r="N50" s="61" t="s">
        <v>226</v>
      </c>
      <c r="O50" s="62" t="s">
        <v>159</v>
      </c>
      <c r="P50" s="62" t="s">
        <v>167</v>
      </c>
      <c r="Q50" s="50" t="str">
        <f t="shared" ca="1" si="3"/>
        <v>Phase 0</v>
      </c>
      <c r="R50" s="62"/>
      <c r="S50" s="62"/>
      <c r="T50" s="62"/>
      <c r="U50" s="51" t="str">
        <f t="shared" ca="1" si="6"/>
        <v>Killed</v>
      </c>
      <c r="V50" s="60" t="s">
        <v>154</v>
      </c>
      <c r="W50" s="61" t="s">
        <v>457</v>
      </c>
      <c r="X50" s="10"/>
    </row>
    <row r="51" spans="1:24" s="10" customFormat="1" ht="45">
      <c r="A51" s="27">
        <v>50</v>
      </c>
      <c r="B51" s="28" t="s">
        <v>19</v>
      </c>
      <c r="C51" s="28" t="str">
        <f t="shared" si="4"/>
        <v>Product Development</v>
      </c>
      <c r="D51" s="28" t="s">
        <v>8</v>
      </c>
      <c r="E51" s="35" t="s">
        <v>18</v>
      </c>
      <c r="F51" s="35" t="s">
        <v>200</v>
      </c>
      <c r="G51" s="2" t="s">
        <v>716</v>
      </c>
      <c r="H51" s="2" t="str">
        <f t="shared" si="0"/>
        <v>Govt Railways - Loco</v>
      </c>
      <c r="I51" s="28" t="s">
        <v>7</v>
      </c>
      <c r="J51" s="28" t="s">
        <v>107</v>
      </c>
      <c r="K51" s="2" t="str">
        <f t="shared" ca="1" si="1"/>
        <v>Complete New Product</v>
      </c>
      <c r="L51" s="2" t="str">
        <f t="shared" ca="1" si="2"/>
        <v>Krishna Rashtrakut</v>
      </c>
      <c r="M51" s="2" t="str">
        <f t="shared" ca="1" si="5"/>
        <v>Platinum</v>
      </c>
      <c r="N51" s="35" t="s">
        <v>226</v>
      </c>
      <c r="O51" s="29">
        <v>44002</v>
      </c>
      <c r="P51" s="29" t="s">
        <v>167</v>
      </c>
      <c r="Q51" s="50" t="str">
        <f t="shared" ca="1" si="3"/>
        <v>Phase 0</v>
      </c>
      <c r="R51" s="29"/>
      <c r="S51" s="29"/>
      <c r="T51" s="29"/>
      <c r="U51" s="51" t="str">
        <f t="shared" ca="1" si="6"/>
        <v>In-Process</v>
      </c>
      <c r="V51" s="28" t="s">
        <v>154</v>
      </c>
      <c r="W51" s="35" t="s">
        <v>199</v>
      </c>
    </row>
    <row r="52" spans="1:24" s="10" customFormat="1" ht="45">
      <c r="A52" s="63">
        <v>51</v>
      </c>
      <c r="B52" s="28" t="s">
        <v>17</v>
      </c>
      <c r="C52" s="28" t="str">
        <f t="shared" si="4"/>
        <v>Product Development</v>
      </c>
      <c r="D52" s="28" t="s">
        <v>8</v>
      </c>
      <c r="E52" s="35" t="s">
        <v>16</v>
      </c>
      <c r="F52" s="35" t="s">
        <v>200</v>
      </c>
      <c r="G52" s="2" t="s">
        <v>717</v>
      </c>
      <c r="H52" s="2" t="str">
        <f t="shared" si="0"/>
        <v>Govt Railways - Loco</v>
      </c>
      <c r="I52" s="28" t="s">
        <v>7</v>
      </c>
      <c r="J52" s="28" t="s">
        <v>107</v>
      </c>
      <c r="K52" s="2" t="str">
        <f t="shared" ca="1" si="1"/>
        <v>Major Change</v>
      </c>
      <c r="L52" s="2" t="str">
        <f t="shared" ca="1" si="2"/>
        <v>Krishna Rashtrakut</v>
      </c>
      <c r="M52" s="2" t="str">
        <f t="shared" ca="1" si="5"/>
        <v>Gold</v>
      </c>
      <c r="N52" s="35" t="s">
        <v>226</v>
      </c>
      <c r="O52" s="29">
        <v>44002</v>
      </c>
      <c r="P52" s="29" t="s">
        <v>167</v>
      </c>
      <c r="Q52" s="50" t="str">
        <f t="shared" ca="1" si="3"/>
        <v>Phase 0</v>
      </c>
      <c r="R52" s="29"/>
      <c r="S52" s="29"/>
      <c r="T52" s="29"/>
      <c r="U52" s="51" t="str">
        <f t="shared" ca="1" si="6"/>
        <v>Killed</v>
      </c>
      <c r="V52" s="28" t="s">
        <v>154</v>
      </c>
      <c r="W52" s="35" t="s">
        <v>199</v>
      </c>
    </row>
    <row r="53" spans="1:24" s="10" customFormat="1" ht="45">
      <c r="A53" s="27">
        <v>52</v>
      </c>
      <c r="B53" s="28" t="s">
        <v>15</v>
      </c>
      <c r="C53" s="28" t="str">
        <f t="shared" si="4"/>
        <v>Product Development</v>
      </c>
      <c r="D53" s="28" t="s">
        <v>8</v>
      </c>
      <c r="E53" s="35" t="s">
        <v>14</v>
      </c>
      <c r="F53" s="35" t="s">
        <v>200</v>
      </c>
      <c r="G53" s="2" t="s">
        <v>716</v>
      </c>
      <c r="H53" s="2" t="str">
        <f t="shared" si="0"/>
        <v>Govt Railways - Loco</v>
      </c>
      <c r="I53" s="28" t="s">
        <v>7</v>
      </c>
      <c r="J53" s="28" t="s">
        <v>107</v>
      </c>
      <c r="K53" s="2" t="str">
        <f t="shared" ca="1" si="1"/>
        <v>Major Change</v>
      </c>
      <c r="L53" s="2" t="str">
        <f t="shared" ca="1" si="2"/>
        <v>Vinod Ghatge</v>
      </c>
      <c r="M53" s="2" t="str">
        <f t="shared" ca="1" si="5"/>
        <v>Silver</v>
      </c>
      <c r="N53" s="35" t="s">
        <v>226</v>
      </c>
      <c r="O53" s="29">
        <v>44002</v>
      </c>
      <c r="P53" s="29" t="s">
        <v>167</v>
      </c>
      <c r="Q53" s="50" t="str">
        <f t="shared" ca="1" si="3"/>
        <v>Phase 3 - Detail design</v>
      </c>
      <c r="R53" s="29"/>
      <c r="S53" s="29"/>
      <c r="T53" s="29"/>
      <c r="U53" s="51" t="str">
        <f t="shared" ca="1" si="6"/>
        <v>Killed</v>
      </c>
      <c r="V53" s="28" t="s">
        <v>154</v>
      </c>
      <c r="W53" s="35" t="s">
        <v>199</v>
      </c>
    </row>
    <row r="54" spans="1:24" s="10" customFormat="1" ht="45">
      <c r="A54" s="27">
        <v>53</v>
      </c>
      <c r="B54" s="28" t="s">
        <v>13</v>
      </c>
      <c r="C54" s="28" t="str">
        <f t="shared" si="4"/>
        <v>Product Development</v>
      </c>
      <c r="D54" s="28" t="s">
        <v>8</v>
      </c>
      <c r="E54" s="35" t="s">
        <v>12</v>
      </c>
      <c r="F54" s="35" t="s">
        <v>200</v>
      </c>
      <c r="G54" s="2" t="s">
        <v>717</v>
      </c>
      <c r="H54" s="2" t="str">
        <f t="shared" si="0"/>
        <v>Govt Railways - Loco</v>
      </c>
      <c r="I54" s="28" t="s">
        <v>7</v>
      </c>
      <c r="J54" s="28" t="s">
        <v>107</v>
      </c>
      <c r="K54" s="2" t="str">
        <f t="shared" ca="1" si="1"/>
        <v>Minor Change</v>
      </c>
      <c r="L54" s="2" t="str">
        <f t="shared" ca="1" si="2"/>
        <v>Vinod Ghatge</v>
      </c>
      <c r="M54" s="2" t="str">
        <f t="shared" ca="1" si="5"/>
        <v>Platinum</v>
      </c>
      <c r="N54" s="35" t="s">
        <v>226</v>
      </c>
      <c r="O54" s="29">
        <v>43586</v>
      </c>
      <c r="P54" s="29" t="s">
        <v>167</v>
      </c>
      <c r="Q54" s="50" t="str">
        <f t="shared" ca="1" si="3"/>
        <v>Phase 0</v>
      </c>
      <c r="R54" s="29"/>
      <c r="S54" s="29"/>
      <c r="T54" s="29"/>
      <c r="U54" s="51" t="str">
        <f t="shared" ca="1" si="6"/>
        <v>In-Process</v>
      </c>
      <c r="V54" s="28" t="s">
        <v>154</v>
      </c>
      <c r="W54" s="35" t="s">
        <v>199</v>
      </c>
    </row>
    <row r="55" spans="1:24" s="10" customFormat="1" ht="28.9" customHeight="1">
      <c r="A55" s="3">
        <v>54</v>
      </c>
      <c r="B55" s="2" t="s">
        <v>11</v>
      </c>
      <c r="C55" s="28" t="str">
        <f t="shared" si="4"/>
        <v>Product Development</v>
      </c>
      <c r="D55" s="2" t="s">
        <v>8</v>
      </c>
      <c r="E55" s="2" t="s">
        <v>10</v>
      </c>
      <c r="F55" s="4" t="s">
        <v>201</v>
      </c>
      <c r="G55" s="2" t="s">
        <v>716</v>
      </c>
      <c r="H55" s="2" t="str">
        <f t="shared" si="0"/>
        <v>Govt Railways - Loco</v>
      </c>
      <c r="I55" s="2"/>
      <c r="J55" s="2" t="s">
        <v>107</v>
      </c>
      <c r="K55" s="2" t="str">
        <f t="shared" ca="1" si="1"/>
        <v>Complete New Product</v>
      </c>
      <c r="L55" s="2" t="str">
        <f t="shared" ca="1" si="2"/>
        <v>Vinod Ghatge</v>
      </c>
      <c r="M55" s="2" t="str">
        <f t="shared" ca="1" si="5"/>
        <v>Silver</v>
      </c>
      <c r="N55" s="4" t="s">
        <v>109</v>
      </c>
      <c r="O55" s="16" t="s">
        <v>159</v>
      </c>
      <c r="P55" s="16" t="s">
        <v>107</v>
      </c>
      <c r="Q55" s="50" t="str">
        <f t="shared" ca="1" si="3"/>
        <v>Phase 1 - Definition</v>
      </c>
      <c r="R55" s="16"/>
      <c r="S55" s="16"/>
      <c r="T55" s="16"/>
      <c r="U55" s="51" t="str">
        <f t="shared" ca="1" si="6"/>
        <v>In-Process</v>
      </c>
      <c r="V55" s="2" t="s">
        <v>154</v>
      </c>
      <c r="W55" s="4" t="s">
        <v>156</v>
      </c>
    </row>
    <row r="56" spans="1:24" s="9" customFormat="1">
      <c r="A56" s="52">
        <v>55</v>
      </c>
      <c r="B56" s="60" t="s">
        <v>134</v>
      </c>
      <c r="C56" s="28" t="str">
        <f t="shared" si="4"/>
        <v>Product Development</v>
      </c>
      <c r="D56" s="61" t="s">
        <v>8</v>
      </c>
      <c r="E56" s="61" t="s">
        <v>135</v>
      </c>
      <c r="F56" s="61" t="s">
        <v>136</v>
      </c>
      <c r="G56" s="2" t="s">
        <v>717</v>
      </c>
      <c r="H56" s="2" t="str">
        <f t="shared" si="0"/>
        <v>Govt Railways - Loco</v>
      </c>
      <c r="I56" s="60"/>
      <c r="J56" s="60" t="s">
        <v>107</v>
      </c>
      <c r="K56" s="2" t="str">
        <f t="shared" ca="1" si="1"/>
        <v>Major Change</v>
      </c>
      <c r="L56" s="2" t="str">
        <f t="shared" ca="1" si="2"/>
        <v>Praveen Patil</v>
      </c>
      <c r="M56" s="2" t="str">
        <f t="shared" ca="1" si="5"/>
        <v>Bronze</v>
      </c>
      <c r="N56" s="61" t="s">
        <v>226</v>
      </c>
      <c r="O56" s="62">
        <v>44652</v>
      </c>
      <c r="P56" s="62">
        <v>45382</v>
      </c>
      <c r="Q56" s="50" t="str">
        <f t="shared" ca="1" si="3"/>
        <v>Phase 1 - Definition</v>
      </c>
      <c r="R56" s="62"/>
      <c r="S56" s="62"/>
      <c r="T56" s="62"/>
      <c r="U56" s="51" t="str">
        <f t="shared" ca="1" si="6"/>
        <v>On-Hold</v>
      </c>
      <c r="V56" s="60" t="s">
        <v>154</v>
      </c>
      <c r="W56" s="61" t="s">
        <v>480</v>
      </c>
      <c r="X56" s="10"/>
    </row>
    <row r="57" spans="1:24" s="9" customFormat="1" ht="30">
      <c r="A57" s="56">
        <v>56</v>
      </c>
      <c r="B57" s="60" t="s">
        <v>137</v>
      </c>
      <c r="C57" s="28" t="str">
        <f t="shared" si="4"/>
        <v>Product Development</v>
      </c>
      <c r="D57" s="61" t="s">
        <v>8</v>
      </c>
      <c r="E57" s="61" t="s">
        <v>138</v>
      </c>
      <c r="F57" s="61" t="s">
        <v>139</v>
      </c>
      <c r="G57" s="2" t="s">
        <v>716</v>
      </c>
      <c r="H57" s="2" t="str">
        <f t="shared" si="0"/>
        <v>Govt Railways - Loco</v>
      </c>
      <c r="I57" s="60"/>
      <c r="J57" s="60" t="s">
        <v>107</v>
      </c>
      <c r="K57" s="2" t="str">
        <f t="shared" ca="1" si="1"/>
        <v>Complete New Product</v>
      </c>
      <c r="L57" s="2" t="str">
        <f t="shared" ca="1" si="2"/>
        <v>Krishna Rashtrakut</v>
      </c>
      <c r="M57" s="2" t="str">
        <f t="shared" ca="1" si="5"/>
        <v>Gold</v>
      </c>
      <c r="N57" s="61" t="s">
        <v>226</v>
      </c>
      <c r="O57" s="65" t="s">
        <v>159</v>
      </c>
      <c r="P57" s="62" t="s">
        <v>167</v>
      </c>
      <c r="Q57" s="50" t="str">
        <f t="shared" ca="1" si="3"/>
        <v>Phase 0</v>
      </c>
      <c r="R57" s="62"/>
      <c r="S57" s="62"/>
      <c r="T57" s="62"/>
      <c r="U57" s="51" t="str">
        <f t="shared" ca="1" si="6"/>
        <v>Killed</v>
      </c>
      <c r="V57" s="60" t="s">
        <v>154</v>
      </c>
      <c r="W57" s="61" t="s">
        <v>202</v>
      </c>
      <c r="X57" s="10"/>
    </row>
    <row r="58" spans="1:24" s="10" customFormat="1" ht="60">
      <c r="A58" s="3">
        <v>57</v>
      </c>
      <c r="B58" s="2" t="s">
        <v>9</v>
      </c>
      <c r="C58" s="28" t="str">
        <f t="shared" si="4"/>
        <v>Product Development</v>
      </c>
      <c r="D58" s="4" t="s">
        <v>8</v>
      </c>
      <c r="E58" s="4" t="s">
        <v>458</v>
      </c>
      <c r="F58" s="4" t="s">
        <v>203</v>
      </c>
      <c r="G58" s="2" t="s">
        <v>717</v>
      </c>
      <c r="H58" s="2" t="str">
        <f t="shared" si="0"/>
        <v>Govt Railways - Loco</v>
      </c>
      <c r="I58" s="2"/>
      <c r="J58" s="2" t="s">
        <v>107</v>
      </c>
      <c r="K58" s="2" t="str">
        <f t="shared" ca="1" si="1"/>
        <v>Major Change</v>
      </c>
      <c r="L58" s="2" t="str">
        <f t="shared" ca="1" si="2"/>
        <v>Nitin Patil</v>
      </c>
      <c r="M58" s="2" t="str">
        <f t="shared" ca="1" si="5"/>
        <v>Diamond</v>
      </c>
      <c r="N58" s="2" t="s">
        <v>492</v>
      </c>
      <c r="O58" s="16">
        <v>43986</v>
      </c>
      <c r="P58" s="16">
        <v>45565</v>
      </c>
      <c r="Q58" s="50" t="str">
        <f t="shared" ca="1" si="3"/>
        <v>Phase 4 - Validation</v>
      </c>
      <c r="R58" s="16"/>
      <c r="S58" s="16"/>
      <c r="T58" s="16"/>
      <c r="U58" s="51" t="str">
        <f t="shared" ca="1" si="6"/>
        <v>In-Process</v>
      </c>
      <c r="V58" s="2" t="s">
        <v>153</v>
      </c>
      <c r="W58" s="4" t="s">
        <v>459</v>
      </c>
    </row>
    <row r="59" spans="1:24" customFormat="1" ht="43.15" customHeight="1">
      <c r="A59" s="27">
        <v>58</v>
      </c>
      <c r="B59" s="28" t="s">
        <v>6</v>
      </c>
      <c r="C59" s="28" t="str">
        <f t="shared" si="4"/>
        <v>Test Stand Development</v>
      </c>
      <c r="D59" s="28" t="s">
        <v>1</v>
      </c>
      <c r="E59" s="35" t="s">
        <v>204</v>
      </c>
      <c r="F59" s="35" t="s">
        <v>465</v>
      </c>
      <c r="G59" s="2" t="s">
        <v>717</v>
      </c>
      <c r="H59" s="2" t="str">
        <f t="shared" si="0"/>
        <v>Semi-Conductor</v>
      </c>
      <c r="I59" s="28" t="s">
        <v>7</v>
      </c>
      <c r="J59" s="28" t="s">
        <v>107</v>
      </c>
      <c r="K59" s="2" t="str">
        <f t="shared" ca="1" si="1"/>
        <v>Minor Change</v>
      </c>
      <c r="L59" s="2" t="str">
        <f t="shared" ca="1" si="2"/>
        <v>Krishna Rashtrakut</v>
      </c>
      <c r="M59" s="2" t="str">
        <f t="shared" ca="1" si="5"/>
        <v>Silver</v>
      </c>
      <c r="N59" s="35" t="s">
        <v>5</v>
      </c>
      <c r="O59" s="29">
        <v>44398</v>
      </c>
      <c r="P59" s="29">
        <v>45199</v>
      </c>
      <c r="Q59" s="50" t="str">
        <f t="shared" ca="1" si="3"/>
        <v>Phase 5 - Production</v>
      </c>
      <c r="R59" s="29"/>
      <c r="S59" s="29"/>
      <c r="T59" s="29"/>
      <c r="U59" s="51" t="str">
        <f t="shared" ca="1" si="6"/>
        <v>On-Hold</v>
      </c>
      <c r="V59" s="28" t="s">
        <v>229</v>
      </c>
      <c r="W59" s="35" t="s">
        <v>464</v>
      </c>
      <c r="X59" s="38"/>
    </row>
    <row r="60" spans="1:24" s="10" customFormat="1" ht="28.9" customHeight="1">
      <c r="A60" s="14">
        <v>59</v>
      </c>
      <c r="B60" s="5" t="s">
        <v>4</v>
      </c>
      <c r="C60" s="28" t="s">
        <v>179</v>
      </c>
      <c r="D60" s="5" t="s">
        <v>169</v>
      </c>
      <c r="E60" s="5" t="s">
        <v>3</v>
      </c>
      <c r="F60" s="5" t="s">
        <v>2</v>
      </c>
      <c r="G60" s="2" t="s">
        <v>716</v>
      </c>
      <c r="H60" s="2" t="str">
        <f t="shared" si="0"/>
        <v>Govt Railways - Loco</v>
      </c>
      <c r="I60" s="5"/>
      <c r="J60" s="2" t="s">
        <v>107</v>
      </c>
      <c r="K60" s="2" t="str">
        <f t="shared" ca="1" si="1"/>
        <v>Major Change</v>
      </c>
      <c r="L60" s="2" t="str">
        <f t="shared" ca="1" si="2"/>
        <v>Nitin Patil</v>
      </c>
      <c r="M60" s="2" t="str">
        <f t="shared" ca="1" si="5"/>
        <v>Platinum</v>
      </c>
      <c r="N60" s="5" t="s">
        <v>257</v>
      </c>
      <c r="O60" s="16" t="s">
        <v>159</v>
      </c>
      <c r="P60" s="16" t="s">
        <v>107</v>
      </c>
      <c r="Q60" s="50" t="str">
        <f t="shared" ca="1" si="3"/>
        <v>Phase 1 - Definition</v>
      </c>
      <c r="R60" s="16"/>
      <c r="S60" s="16"/>
      <c r="T60" s="16"/>
      <c r="U60" s="51" t="str">
        <f t="shared" ca="1" si="6"/>
        <v>Killed</v>
      </c>
      <c r="V60" s="2" t="s">
        <v>153</v>
      </c>
      <c r="W60" s="25" t="s">
        <v>400</v>
      </c>
    </row>
    <row r="61" spans="1:24" customFormat="1" ht="56.25" customHeight="1">
      <c r="A61" s="3">
        <v>60</v>
      </c>
      <c r="B61" s="5" t="s">
        <v>114</v>
      </c>
      <c r="C61" s="28" t="str">
        <f t="shared" si="4"/>
        <v/>
      </c>
      <c r="D61" s="2" t="s">
        <v>0</v>
      </c>
      <c r="E61" s="4" t="s">
        <v>168</v>
      </c>
      <c r="F61" s="4" t="s">
        <v>205</v>
      </c>
      <c r="G61" s="2" t="s">
        <v>717</v>
      </c>
      <c r="H61" s="2" t="str">
        <f t="shared" si="0"/>
        <v/>
      </c>
      <c r="I61" s="5" t="s">
        <v>107</v>
      </c>
      <c r="J61" s="2" t="s">
        <v>107</v>
      </c>
      <c r="K61" s="2" t="str">
        <f t="shared" ca="1" si="1"/>
        <v>Minor Change</v>
      </c>
      <c r="L61" s="2" t="str">
        <f t="shared" ca="1" si="2"/>
        <v>Krishna Rashtrakut</v>
      </c>
      <c r="M61" s="2" t="str">
        <f t="shared" ca="1" si="5"/>
        <v>Bronze</v>
      </c>
      <c r="N61" s="4" t="s">
        <v>112</v>
      </c>
      <c r="O61" s="17">
        <v>44287</v>
      </c>
      <c r="P61" s="16">
        <v>45777</v>
      </c>
      <c r="Q61" s="50" t="str">
        <f t="shared" ca="1" si="3"/>
        <v>Phase 5 - Production</v>
      </c>
      <c r="R61" s="16"/>
      <c r="S61" s="16"/>
      <c r="T61" s="16"/>
      <c r="U61" s="51" t="str">
        <f t="shared" ca="1" si="6"/>
        <v>In-Process</v>
      </c>
      <c r="V61" s="2" t="s">
        <v>153</v>
      </c>
      <c r="W61" s="25" t="s">
        <v>320</v>
      </c>
      <c r="X61" s="38"/>
    </row>
    <row r="62" spans="1:24" ht="28.9" customHeight="1">
      <c r="A62" s="27">
        <v>61</v>
      </c>
      <c r="B62" s="72" t="s">
        <v>115</v>
      </c>
      <c r="C62" s="28" t="s">
        <v>179</v>
      </c>
      <c r="D62" s="28" t="s">
        <v>116</v>
      </c>
      <c r="E62" s="35" t="s">
        <v>170</v>
      </c>
      <c r="F62" s="72" t="s">
        <v>117</v>
      </c>
      <c r="G62" s="2" t="s">
        <v>716</v>
      </c>
      <c r="H62" s="2" t="str">
        <f t="shared" si="0"/>
        <v>Govt Railways - Loco</v>
      </c>
      <c r="I62" s="72"/>
      <c r="J62" s="72" t="s">
        <v>107</v>
      </c>
      <c r="K62" s="2" t="str">
        <f t="shared" ca="1" si="1"/>
        <v>Complete New Product</v>
      </c>
      <c r="L62" s="2" t="str">
        <f t="shared" ca="1" si="2"/>
        <v>Praveen Patil</v>
      </c>
      <c r="M62" s="2" t="str">
        <f t="shared" ca="1" si="5"/>
        <v>Gold</v>
      </c>
      <c r="N62" s="72" t="s">
        <v>288</v>
      </c>
      <c r="O62" s="66">
        <v>44287</v>
      </c>
      <c r="P62" s="29">
        <v>45291</v>
      </c>
      <c r="Q62" s="50" t="str">
        <f t="shared" ca="1" si="3"/>
        <v>Phase 0</v>
      </c>
      <c r="R62" s="29"/>
      <c r="S62" s="29"/>
      <c r="T62" s="29"/>
      <c r="U62" s="51" t="str">
        <f t="shared" ca="1" si="6"/>
        <v>Killed</v>
      </c>
      <c r="V62" s="28" t="s">
        <v>153</v>
      </c>
      <c r="W62" s="67" t="s">
        <v>431</v>
      </c>
      <c r="X62" s="10"/>
    </row>
    <row r="63" spans="1:24" ht="51.75" customHeight="1">
      <c r="A63" s="27">
        <v>62</v>
      </c>
      <c r="B63" s="28" t="s">
        <v>171</v>
      </c>
      <c r="C63" s="28" t="str">
        <f t="shared" si="4"/>
        <v>Product Development</v>
      </c>
      <c r="D63" s="72" t="s">
        <v>8</v>
      </c>
      <c r="E63" s="67" t="s">
        <v>126</v>
      </c>
      <c r="F63" s="67" t="s">
        <v>206</v>
      </c>
      <c r="G63" s="2" t="s">
        <v>717</v>
      </c>
      <c r="H63" s="2" t="str">
        <f t="shared" si="0"/>
        <v>Govt Railways - Loco</v>
      </c>
      <c r="I63" s="72"/>
      <c r="J63" s="72" t="s">
        <v>107</v>
      </c>
      <c r="K63" s="2" t="str">
        <f t="shared" ca="1" si="1"/>
        <v>Minor Change</v>
      </c>
      <c r="L63" s="2" t="str">
        <f t="shared" ca="1" si="2"/>
        <v>Vinod Ghatge</v>
      </c>
      <c r="M63" s="2" t="str">
        <f t="shared" ca="1" si="5"/>
        <v>Platinum</v>
      </c>
      <c r="N63" s="28" t="s">
        <v>226</v>
      </c>
      <c r="O63" s="66">
        <v>43525</v>
      </c>
      <c r="P63" s="29">
        <v>45291</v>
      </c>
      <c r="Q63" s="50" t="str">
        <f t="shared" ca="1" si="3"/>
        <v>Phase 0</v>
      </c>
      <c r="R63" s="29"/>
      <c r="S63" s="29"/>
      <c r="T63" s="29"/>
      <c r="U63" s="51" t="str">
        <f t="shared" ca="1" si="6"/>
        <v>Killed</v>
      </c>
      <c r="V63" s="28" t="s">
        <v>154</v>
      </c>
      <c r="W63" s="67" t="s">
        <v>460</v>
      </c>
      <c r="X63" s="10"/>
    </row>
    <row r="64" spans="1:24" s="9" customFormat="1">
      <c r="A64" s="63">
        <v>63</v>
      </c>
      <c r="B64" s="28" t="s">
        <v>140</v>
      </c>
      <c r="C64" s="28" t="str">
        <f t="shared" si="4"/>
        <v>Product Development</v>
      </c>
      <c r="D64" s="28" t="s">
        <v>8</v>
      </c>
      <c r="E64" s="35" t="s">
        <v>141</v>
      </c>
      <c r="F64" s="35" t="s">
        <v>142</v>
      </c>
      <c r="G64" s="2" t="s">
        <v>716</v>
      </c>
      <c r="H64" s="2" t="str">
        <f t="shared" si="0"/>
        <v>Govt Railways - Loco</v>
      </c>
      <c r="I64" s="28"/>
      <c r="J64" s="28" t="s">
        <v>107</v>
      </c>
      <c r="K64" s="2" t="str">
        <f t="shared" ca="1" si="1"/>
        <v>Major Change</v>
      </c>
      <c r="L64" s="2" t="str">
        <f t="shared" ca="1" si="2"/>
        <v>Krishna Rashtrakut</v>
      </c>
      <c r="M64" s="2" t="str">
        <f t="shared" ca="1" si="5"/>
        <v>Bronze</v>
      </c>
      <c r="N64" s="28" t="s">
        <v>226</v>
      </c>
      <c r="O64" s="68">
        <v>44287</v>
      </c>
      <c r="P64" s="69" t="s">
        <v>107</v>
      </c>
      <c r="Q64" s="50" t="str">
        <f t="shared" ca="1" si="3"/>
        <v>Phase 3 - Detail design</v>
      </c>
      <c r="R64" s="69"/>
      <c r="S64" s="69"/>
      <c r="T64" s="69"/>
      <c r="U64" s="51" t="str">
        <f t="shared" ca="1" si="6"/>
        <v>In-Process</v>
      </c>
      <c r="V64" s="28" t="s">
        <v>154</v>
      </c>
      <c r="W64" s="35" t="s">
        <v>229</v>
      </c>
      <c r="X64" s="10"/>
    </row>
    <row r="65" spans="1:24" s="9" customFormat="1">
      <c r="A65" s="27">
        <v>64</v>
      </c>
      <c r="B65" s="28" t="s">
        <v>143</v>
      </c>
      <c r="C65" s="28" t="str">
        <f t="shared" si="4"/>
        <v>Product Development</v>
      </c>
      <c r="D65" s="28" t="s">
        <v>8</v>
      </c>
      <c r="E65" s="35" t="s">
        <v>172</v>
      </c>
      <c r="F65" s="35" t="s">
        <v>144</v>
      </c>
      <c r="G65" s="2" t="s">
        <v>717</v>
      </c>
      <c r="H65" s="2" t="str">
        <f t="shared" si="0"/>
        <v>Govt Railways - Loco</v>
      </c>
      <c r="I65" s="28"/>
      <c r="J65" s="28" t="s">
        <v>107</v>
      </c>
      <c r="K65" s="2" t="str">
        <f t="shared" ca="1" si="1"/>
        <v>Complete New Product</v>
      </c>
      <c r="L65" s="2" t="str">
        <f t="shared" ca="1" si="2"/>
        <v>Krishna Rashtrakut</v>
      </c>
      <c r="M65" s="2" t="str">
        <f t="shared" ca="1" si="5"/>
        <v>Silver</v>
      </c>
      <c r="N65" s="28" t="s">
        <v>226</v>
      </c>
      <c r="O65" s="29">
        <v>44200</v>
      </c>
      <c r="P65" s="69" t="s">
        <v>107</v>
      </c>
      <c r="Q65" s="50" t="str">
        <f t="shared" ca="1" si="3"/>
        <v>Phase 5 - Production</v>
      </c>
      <c r="R65" s="69"/>
      <c r="S65" s="69"/>
      <c r="T65" s="69"/>
      <c r="U65" s="51" t="str">
        <f t="shared" ca="1" si="6"/>
        <v>On-Hold</v>
      </c>
      <c r="V65" s="28" t="s">
        <v>154</v>
      </c>
      <c r="W65" s="35" t="s">
        <v>229</v>
      </c>
      <c r="X65" s="10"/>
    </row>
    <row r="66" spans="1:24" s="9" customFormat="1" ht="42.75" customHeight="1">
      <c r="A66" s="3">
        <v>65</v>
      </c>
      <c r="B66" s="2" t="s">
        <v>145</v>
      </c>
      <c r="C66" s="28" t="str">
        <f t="shared" si="4"/>
        <v>Product Development</v>
      </c>
      <c r="D66" s="2" t="s">
        <v>8</v>
      </c>
      <c r="E66" s="2" t="s">
        <v>146</v>
      </c>
      <c r="F66" s="4" t="s">
        <v>147</v>
      </c>
      <c r="G66" s="2" t="s">
        <v>716</v>
      </c>
      <c r="H66" s="2" t="str">
        <f t="shared" si="0"/>
        <v>Govt Railways - Loco</v>
      </c>
      <c r="I66" s="2"/>
      <c r="J66" s="2" t="s">
        <v>107</v>
      </c>
      <c r="K66" s="2" t="str">
        <f t="shared" ca="1" si="1"/>
        <v>Complete New Product</v>
      </c>
      <c r="L66" s="2" t="str">
        <f t="shared" ca="1" si="2"/>
        <v>Vinod Ghatge</v>
      </c>
      <c r="M66" s="2" t="str">
        <f t="shared" ca="1" si="5"/>
        <v>Silver</v>
      </c>
      <c r="N66" s="4" t="s">
        <v>109</v>
      </c>
      <c r="O66" s="48">
        <v>43770</v>
      </c>
      <c r="P66" s="16" t="s">
        <v>167</v>
      </c>
      <c r="Q66" s="50" t="str">
        <f t="shared" ca="1" si="3"/>
        <v>Phase 2 - Concept development</v>
      </c>
      <c r="R66" s="16"/>
      <c r="S66" s="16"/>
      <c r="T66" s="16"/>
      <c r="U66" s="51" t="str">
        <f t="shared" ca="1" si="6"/>
        <v>On-Hold</v>
      </c>
      <c r="V66" s="2" t="s">
        <v>229</v>
      </c>
      <c r="W66" s="4" t="s">
        <v>304</v>
      </c>
      <c r="X66" s="10"/>
    </row>
    <row r="67" spans="1:24" ht="21" customHeight="1">
      <c r="A67" s="56">
        <v>66</v>
      </c>
      <c r="B67" s="60" t="s">
        <v>151</v>
      </c>
      <c r="C67" s="28" t="str">
        <f t="shared" si="4"/>
        <v>Product Development</v>
      </c>
      <c r="D67" s="60" t="s">
        <v>8</v>
      </c>
      <c r="E67" s="61" t="s">
        <v>148</v>
      </c>
      <c r="F67" s="57" t="s">
        <v>149</v>
      </c>
      <c r="G67" s="2" t="s">
        <v>717</v>
      </c>
      <c r="H67" s="2" t="str">
        <f t="shared" ref="H67:H130" si="8">IF(C67="Product Development","Govt Railways - Loco",IF(C67="Product Certification","Oil &amp; Gas",IF(C67="Process Development","Aerospace",IF(C67="Test Stand Development","Semi-Conductor",""))))</f>
        <v>Govt Railways - Loco</v>
      </c>
      <c r="I67" s="60" t="s">
        <v>150</v>
      </c>
      <c r="J67" s="60" t="s">
        <v>107</v>
      </c>
      <c r="K67" s="2" t="str">
        <f t="shared" ref="K67:K130" ca="1" si="9">CHOOSE(RANDBETWEEN(1,3),"Minor Change","Major Change","Complete New Product")</f>
        <v>Major Change</v>
      </c>
      <c r="L67" s="2" t="str">
        <f t="shared" ref="L67:L130" ca="1" si="10">CHOOSE(RANDBETWEEN(1,4),"Krishna Rashtrakut","Nitin Patil","Praveen Patil","Vinod Ghatge")</f>
        <v>Krishna Rashtrakut</v>
      </c>
      <c r="M67" s="2" t="str">
        <f t="shared" ref="M67:M130" ca="1" si="11">CHOOSE(RANDBETWEEN(1,5),"Bronze","Silver","Gold","Platinum","Diamond")</f>
        <v>Gold</v>
      </c>
      <c r="N67" s="60" t="s">
        <v>226</v>
      </c>
      <c r="O67" s="70">
        <v>43525</v>
      </c>
      <c r="P67" s="62">
        <v>45291</v>
      </c>
      <c r="Q67" s="50" t="str">
        <f t="shared" ref="Q67:Q130" ca="1" si="12">CHOOSE(RANDBETWEEN(1,6),"Phase 0","Phase 1 - Definition","Phase 2 - Concept development","Phase 3 - Detail design","Phase 4 - Validation","Phase 5 - Production")</f>
        <v>Phase 4 - Validation</v>
      </c>
      <c r="R67" s="62"/>
      <c r="S67" s="62"/>
      <c r="T67" s="62"/>
      <c r="U67" s="51" t="str">
        <f t="shared" ca="1" si="6"/>
        <v>On-Hold</v>
      </c>
      <c r="V67" s="60" t="s">
        <v>153</v>
      </c>
      <c r="W67" s="61" t="s">
        <v>173</v>
      </c>
      <c r="X67" s="10"/>
    </row>
    <row r="68" spans="1:24" customFormat="1" ht="28.9" customHeight="1">
      <c r="A68" s="14">
        <v>67</v>
      </c>
      <c r="B68" s="2" t="s">
        <v>216</v>
      </c>
      <c r="C68" s="28" t="str">
        <f t="shared" ref="C68:C131" si="13">IF(OR(D68="valve",D68="special project"),"Product Development",IF(OR(D68="services",D68="aerospace"),"Process Development",IF(OR(D68="testing",D68="fittings"),"Test Stand Development",IF(D68="certification","Product Certification",""))))</f>
        <v>Test Stand Development</v>
      </c>
      <c r="D68" s="39" t="s">
        <v>1</v>
      </c>
      <c r="E68" s="4" t="s">
        <v>211</v>
      </c>
      <c r="F68" s="5" t="s">
        <v>230</v>
      </c>
      <c r="G68" s="2" t="s">
        <v>716</v>
      </c>
      <c r="H68" s="2" t="str">
        <f t="shared" si="8"/>
        <v>Semi-Conductor</v>
      </c>
      <c r="I68" s="25" t="s">
        <v>215</v>
      </c>
      <c r="J68" s="2" t="s">
        <v>107</v>
      </c>
      <c r="K68" s="2" t="str">
        <f t="shared" ca="1" si="9"/>
        <v>Major Change</v>
      </c>
      <c r="L68" s="2" t="str">
        <f t="shared" ca="1" si="10"/>
        <v>Nitin Patil</v>
      </c>
      <c r="M68" s="2" t="str">
        <f t="shared" ca="1" si="11"/>
        <v>Bronze</v>
      </c>
      <c r="N68" s="5" t="s">
        <v>112</v>
      </c>
      <c r="O68" s="16">
        <v>44651</v>
      </c>
      <c r="P68" s="16">
        <v>45746</v>
      </c>
      <c r="Q68" s="50" t="str">
        <f t="shared" ca="1" si="12"/>
        <v>Phase 4 - Validation</v>
      </c>
      <c r="R68" s="16"/>
      <c r="S68" s="16"/>
      <c r="T68" s="16"/>
      <c r="U68" s="51" t="str">
        <f t="shared" ref="U68:U131" ca="1" si="14">IF(Q67="","Killed",IF(LEFT(P67,7)="Phase 5","Completed",CHOOSE(RANDBETWEEN(1,3),"In-Process","On-Hold","Killed")))</f>
        <v>Killed</v>
      </c>
      <c r="V68" s="2" t="s">
        <v>153</v>
      </c>
      <c r="W68" s="25" t="s">
        <v>466</v>
      </c>
      <c r="X68" s="38"/>
    </row>
    <row r="69" spans="1:24" customFormat="1" ht="28.9" customHeight="1">
      <c r="A69" s="27">
        <v>68</v>
      </c>
      <c r="B69" s="28" t="s">
        <v>217</v>
      </c>
      <c r="C69" s="28" t="str">
        <f t="shared" si="13"/>
        <v>Test Stand Development</v>
      </c>
      <c r="D69" s="28" t="s">
        <v>1</v>
      </c>
      <c r="E69" s="35" t="s">
        <v>212</v>
      </c>
      <c r="F69" s="72" t="s">
        <v>230</v>
      </c>
      <c r="G69" s="2" t="s">
        <v>717</v>
      </c>
      <c r="H69" s="2" t="str">
        <f t="shared" si="8"/>
        <v>Semi-Conductor</v>
      </c>
      <c r="I69" s="67" t="s">
        <v>215</v>
      </c>
      <c r="J69" s="28" t="s">
        <v>107</v>
      </c>
      <c r="K69" s="2" t="str">
        <f t="shared" ca="1" si="9"/>
        <v>Minor Change</v>
      </c>
      <c r="L69" s="2" t="str">
        <f t="shared" ca="1" si="10"/>
        <v>Vinod Ghatge</v>
      </c>
      <c r="M69" s="2" t="str">
        <f t="shared" ca="1" si="11"/>
        <v>Platinum</v>
      </c>
      <c r="N69" s="72" t="s">
        <v>112</v>
      </c>
      <c r="O69" s="66">
        <v>44531</v>
      </c>
      <c r="P69" s="29">
        <v>45199</v>
      </c>
      <c r="Q69" s="50" t="str">
        <f t="shared" ca="1" si="12"/>
        <v>Phase 4 - Validation</v>
      </c>
      <c r="R69" s="29"/>
      <c r="S69" s="29"/>
      <c r="T69" s="29"/>
      <c r="U69" s="51" t="str">
        <f t="shared" ca="1" si="14"/>
        <v>In-Process</v>
      </c>
      <c r="V69" s="28" t="s">
        <v>153</v>
      </c>
      <c r="W69" s="67" t="s">
        <v>383</v>
      </c>
      <c r="X69" s="38"/>
    </row>
    <row r="70" spans="1:24" customFormat="1" ht="28.9" customHeight="1">
      <c r="A70" s="27">
        <v>69</v>
      </c>
      <c r="B70" s="28" t="s">
        <v>218</v>
      </c>
      <c r="C70" s="28" t="str">
        <f t="shared" si="13"/>
        <v>Test Stand Development</v>
      </c>
      <c r="D70" s="28" t="s">
        <v>1</v>
      </c>
      <c r="E70" s="35" t="s">
        <v>213</v>
      </c>
      <c r="F70" s="72" t="s">
        <v>230</v>
      </c>
      <c r="G70" s="2" t="s">
        <v>716</v>
      </c>
      <c r="H70" s="2" t="str">
        <f t="shared" si="8"/>
        <v>Semi-Conductor</v>
      </c>
      <c r="I70" s="67" t="s">
        <v>215</v>
      </c>
      <c r="J70" s="28" t="s">
        <v>107</v>
      </c>
      <c r="K70" s="2" t="str">
        <f t="shared" ca="1" si="9"/>
        <v>Minor Change</v>
      </c>
      <c r="L70" s="2" t="str">
        <f t="shared" ca="1" si="10"/>
        <v>Krishna Rashtrakut</v>
      </c>
      <c r="M70" s="2" t="str">
        <f t="shared" ca="1" si="11"/>
        <v>Bronze</v>
      </c>
      <c r="N70" s="72" t="s">
        <v>112</v>
      </c>
      <c r="O70" s="66">
        <v>44531</v>
      </c>
      <c r="P70" s="29">
        <v>45076</v>
      </c>
      <c r="Q70" s="50" t="str">
        <f t="shared" ca="1" si="12"/>
        <v>Phase 3 - Detail design</v>
      </c>
      <c r="R70" s="29"/>
      <c r="S70" s="29"/>
      <c r="T70" s="29"/>
      <c r="U70" s="51" t="str">
        <f t="shared" ca="1" si="14"/>
        <v>In-Process</v>
      </c>
      <c r="V70" s="28" t="s">
        <v>153</v>
      </c>
      <c r="W70" s="67" t="s">
        <v>229</v>
      </c>
      <c r="X70" s="38"/>
    </row>
    <row r="71" spans="1:24" customFormat="1" ht="31.5" customHeight="1">
      <c r="A71" s="3">
        <v>70</v>
      </c>
      <c r="B71" s="2" t="s">
        <v>218</v>
      </c>
      <c r="C71" s="28" t="str">
        <f t="shared" si="13"/>
        <v>Test Stand Development</v>
      </c>
      <c r="D71" s="5" t="s">
        <v>1</v>
      </c>
      <c r="E71" s="5" t="s">
        <v>219</v>
      </c>
      <c r="F71" s="25" t="s">
        <v>220</v>
      </c>
      <c r="G71" s="2" t="s">
        <v>717</v>
      </c>
      <c r="H71" s="2" t="str">
        <f t="shared" si="8"/>
        <v>Semi-Conductor</v>
      </c>
      <c r="I71" s="25" t="s">
        <v>215</v>
      </c>
      <c r="J71" s="2" t="s">
        <v>107</v>
      </c>
      <c r="K71" s="2" t="str">
        <f t="shared" ca="1" si="9"/>
        <v>Complete New Product</v>
      </c>
      <c r="L71" s="2" t="str">
        <f t="shared" ca="1" si="10"/>
        <v>Praveen Patil</v>
      </c>
      <c r="M71" s="2" t="str">
        <f t="shared" ca="1" si="11"/>
        <v>Diamond</v>
      </c>
      <c r="N71" s="5" t="s">
        <v>112</v>
      </c>
      <c r="O71" s="17">
        <v>44642</v>
      </c>
      <c r="P71" s="16" t="s">
        <v>167</v>
      </c>
      <c r="Q71" s="50" t="str">
        <f t="shared" ca="1" si="12"/>
        <v>Phase 5 - Production</v>
      </c>
      <c r="R71" s="16"/>
      <c r="S71" s="16"/>
      <c r="T71" s="16"/>
      <c r="U71" s="51" t="str">
        <f t="shared" ca="1" si="14"/>
        <v>In-Process</v>
      </c>
      <c r="V71" s="2" t="s">
        <v>229</v>
      </c>
      <c r="W71" s="25" t="s">
        <v>231</v>
      </c>
      <c r="X71" s="38"/>
    </row>
    <row r="72" spans="1:24" customFormat="1" ht="28.9" customHeight="1">
      <c r="A72" s="14">
        <v>71</v>
      </c>
      <c r="B72" s="2" t="s">
        <v>232</v>
      </c>
      <c r="C72" s="28" t="str">
        <f t="shared" si="13"/>
        <v>Test Stand Development</v>
      </c>
      <c r="D72" s="5" t="s">
        <v>1</v>
      </c>
      <c r="E72" s="25" t="s">
        <v>236</v>
      </c>
      <c r="F72" s="25" t="s">
        <v>233</v>
      </c>
      <c r="G72" s="2" t="s">
        <v>716</v>
      </c>
      <c r="H72" s="2" t="str">
        <f t="shared" si="8"/>
        <v>Semi-Conductor</v>
      </c>
      <c r="I72" s="25" t="s">
        <v>215</v>
      </c>
      <c r="J72" s="2" t="s">
        <v>107</v>
      </c>
      <c r="K72" s="2" t="str">
        <f t="shared" ca="1" si="9"/>
        <v>Complete New Product</v>
      </c>
      <c r="L72" s="2" t="str">
        <f t="shared" ca="1" si="10"/>
        <v>Krishna Rashtrakut</v>
      </c>
      <c r="M72" s="2" t="str">
        <f t="shared" ca="1" si="11"/>
        <v>Silver</v>
      </c>
      <c r="N72" s="5" t="s">
        <v>112</v>
      </c>
      <c r="O72" s="16" t="s">
        <v>159</v>
      </c>
      <c r="P72" s="16" t="s">
        <v>167</v>
      </c>
      <c r="Q72" s="50" t="str">
        <f t="shared" ca="1" si="12"/>
        <v>Phase 2 - Concept development</v>
      </c>
      <c r="R72" s="16"/>
      <c r="S72" s="16"/>
      <c r="T72" s="16"/>
      <c r="U72" s="51" t="str">
        <f t="shared" ca="1" si="14"/>
        <v>On-Hold</v>
      </c>
      <c r="V72" s="2" t="s">
        <v>229</v>
      </c>
      <c r="W72" s="25" t="s">
        <v>224</v>
      </c>
      <c r="X72" s="38"/>
    </row>
    <row r="73" spans="1:24" customFormat="1" ht="14.45" customHeight="1">
      <c r="A73" s="3">
        <v>72</v>
      </c>
      <c r="B73" s="2" t="s">
        <v>234</v>
      </c>
      <c r="C73" s="28" t="str">
        <f t="shared" si="13"/>
        <v>Test Stand Development</v>
      </c>
      <c r="D73" s="40" t="s">
        <v>1</v>
      </c>
      <c r="E73" s="25" t="s">
        <v>237</v>
      </c>
      <c r="F73" s="25" t="s">
        <v>233</v>
      </c>
      <c r="G73" s="2" t="s">
        <v>717</v>
      </c>
      <c r="H73" s="2" t="str">
        <f t="shared" si="8"/>
        <v>Semi-Conductor</v>
      </c>
      <c r="I73" s="2"/>
      <c r="J73" s="2" t="s">
        <v>107</v>
      </c>
      <c r="K73" s="2" t="str">
        <f t="shared" ca="1" si="9"/>
        <v>Major Change</v>
      </c>
      <c r="L73" s="2" t="str">
        <f t="shared" ca="1" si="10"/>
        <v>Vinod Ghatge</v>
      </c>
      <c r="M73" s="2" t="str">
        <f t="shared" ca="1" si="11"/>
        <v>Silver</v>
      </c>
      <c r="N73" s="5" t="s">
        <v>112</v>
      </c>
      <c r="O73" s="16" t="s">
        <v>159</v>
      </c>
      <c r="P73" s="16" t="s">
        <v>167</v>
      </c>
      <c r="Q73" s="50" t="str">
        <f t="shared" ca="1" si="12"/>
        <v>Phase 1 - Definition</v>
      </c>
      <c r="R73" s="16"/>
      <c r="S73" s="16"/>
      <c r="T73" s="16"/>
      <c r="U73" s="51" t="str">
        <f t="shared" ca="1" si="14"/>
        <v>In-Process</v>
      </c>
      <c r="V73" s="2" t="s">
        <v>154</v>
      </c>
      <c r="W73" s="25" t="s">
        <v>583</v>
      </c>
      <c r="X73" s="38"/>
    </row>
    <row r="74" spans="1:24" customFormat="1" ht="28.9" customHeight="1">
      <c r="A74" s="27">
        <v>73</v>
      </c>
      <c r="B74" s="28" t="s">
        <v>235</v>
      </c>
      <c r="C74" s="28" t="str">
        <f t="shared" si="13"/>
        <v>Test Stand Development</v>
      </c>
      <c r="D74" s="72" t="s">
        <v>1</v>
      </c>
      <c r="E74" s="67" t="s">
        <v>238</v>
      </c>
      <c r="F74" s="67" t="s">
        <v>239</v>
      </c>
      <c r="G74" s="2" t="s">
        <v>716</v>
      </c>
      <c r="H74" s="2" t="str">
        <f t="shared" si="8"/>
        <v>Semi-Conductor</v>
      </c>
      <c r="I74" s="67"/>
      <c r="J74" s="28" t="s">
        <v>107</v>
      </c>
      <c r="K74" s="2" t="str">
        <f t="shared" ca="1" si="9"/>
        <v>Complete New Product</v>
      </c>
      <c r="L74" s="2" t="str">
        <f t="shared" ca="1" si="10"/>
        <v>Vinod Ghatge</v>
      </c>
      <c r="M74" s="2" t="str">
        <f t="shared" ca="1" si="11"/>
        <v>Platinum</v>
      </c>
      <c r="N74" s="72" t="s">
        <v>112</v>
      </c>
      <c r="O74" s="66">
        <v>44652</v>
      </c>
      <c r="P74" s="29">
        <v>44844</v>
      </c>
      <c r="Q74" s="50" t="str">
        <f t="shared" ca="1" si="12"/>
        <v>Phase 4 - Validation</v>
      </c>
      <c r="R74" s="29"/>
      <c r="S74" s="29"/>
      <c r="T74" s="29"/>
      <c r="U74" s="51" t="str">
        <f t="shared" ca="1" si="14"/>
        <v>Killed</v>
      </c>
      <c r="V74" s="28" t="s">
        <v>153</v>
      </c>
      <c r="W74" s="67" t="s">
        <v>229</v>
      </c>
      <c r="X74" s="38"/>
    </row>
    <row r="75" spans="1:24" ht="36" customHeight="1">
      <c r="A75" s="56">
        <v>74</v>
      </c>
      <c r="B75" s="60" t="s">
        <v>240</v>
      </c>
      <c r="C75" s="28" t="str">
        <f t="shared" si="13"/>
        <v>Product Development</v>
      </c>
      <c r="D75" s="60" t="s">
        <v>8</v>
      </c>
      <c r="E75" s="61" t="s">
        <v>241</v>
      </c>
      <c r="F75" s="57" t="s">
        <v>246</v>
      </c>
      <c r="G75" s="2" t="s">
        <v>717</v>
      </c>
      <c r="H75" s="2" t="str">
        <f t="shared" si="8"/>
        <v>Govt Railways - Loco</v>
      </c>
      <c r="I75" s="60" t="s">
        <v>150</v>
      </c>
      <c r="J75" s="60" t="s">
        <v>107</v>
      </c>
      <c r="K75" s="2" t="str">
        <f t="shared" ca="1" si="9"/>
        <v>Minor Change</v>
      </c>
      <c r="L75" s="2" t="str">
        <f t="shared" ca="1" si="10"/>
        <v>Praveen Patil</v>
      </c>
      <c r="M75" s="2" t="str">
        <f t="shared" ca="1" si="11"/>
        <v>Bronze</v>
      </c>
      <c r="N75" s="60" t="s">
        <v>226</v>
      </c>
      <c r="O75" s="70">
        <v>40909</v>
      </c>
      <c r="P75" s="62" t="s">
        <v>167</v>
      </c>
      <c r="Q75" s="50" t="str">
        <f t="shared" ca="1" si="12"/>
        <v>Phase 4 - Validation</v>
      </c>
      <c r="R75" s="62"/>
      <c r="S75" s="62"/>
      <c r="T75" s="62"/>
      <c r="U75" s="51" t="str">
        <f t="shared" ca="1" si="14"/>
        <v>Killed</v>
      </c>
      <c r="V75" s="60" t="s">
        <v>153</v>
      </c>
      <c r="W75" s="61" t="s">
        <v>242</v>
      </c>
      <c r="X75" s="10"/>
    </row>
    <row r="76" spans="1:24" customFormat="1" ht="30">
      <c r="A76" s="14">
        <v>75</v>
      </c>
      <c r="B76" s="5" t="s">
        <v>243</v>
      </c>
      <c r="C76" s="28" t="str">
        <f t="shared" si="13"/>
        <v/>
      </c>
      <c r="D76" s="2" t="s">
        <v>0</v>
      </c>
      <c r="E76" s="2" t="s">
        <v>244</v>
      </c>
      <c r="F76" s="4" t="s">
        <v>272</v>
      </c>
      <c r="G76" s="2" t="s">
        <v>716</v>
      </c>
      <c r="H76" s="2" t="str">
        <f t="shared" si="8"/>
        <v/>
      </c>
      <c r="I76" s="5" t="s">
        <v>107</v>
      </c>
      <c r="J76" s="2" t="s">
        <v>107</v>
      </c>
      <c r="K76" s="2" t="str">
        <f t="shared" ca="1" si="9"/>
        <v>Minor Change</v>
      </c>
      <c r="L76" s="2" t="str">
        <f t="shared" ca="1" si="10"/>
        <v>Vinod Ghatge</v>
      </c>
      <c r="M76" s="2" t="str">
        <f t="shared" ca="1" si="11"/>
        <v>Platinum</v>
      </c>
      <c r="N76" s="4" t="s">
        <v>245</v>
      </c>
      <c r="O76" s="17">
        <v>44287</v>
      </c>
      <c r="P76" s="16">
        <v>45565</v>
      </c>
      <c r="Q76" s="50" t="str">
        <f t="shared" ca="1" si="12"/>
        <v>Phase 2 - Concept development</v>
      </c>
      <c r="R76" s="16"/>
      <c r="S76" s="16"/>
      <c r="T76" s="16"/>
      <c r="U76" s="51" t="str">
        <f t="shared" ca="1" si="14"/>
        <v>Killed</v>
      </c>
      <c r="V76" s="2" t="s">
        <v>153</v>
      </c>
      <c r="W76" s="25" t="s">
        <v>321</v>
      </c>
      <c r="X76" s="38"/>
    </row>
    <row r="77" spans="1:24" customFormat="1" ht="54.75" customHeight="1">
      <c r="A77" s="3">
        <v>76</v>
      </c>
      <c r="B77" s="2" t="s">
        <v>83</v>
      </c>
      <c r="C77" s="28" t="str">
        <f t="shared" si="13"/>
        <v>Test Stand Development</v>
      </c>
      <c r="D77" s="4" t="s">
        <v>1</v>
      </c>
      <c r="E77" s="4" t="s">
        <v>252</v>
      </c>
      <c r="F77" s="4" t="s">
        <v>322</v>
      </c>
      <c r="G77" s="2" t="s">
        <v>717</v>
      </c>
      <c r="H77" s="2" t="str">
        <f t="shared" si="8"/>
        <v>Semi-Conductor</v>
      </c>
      <c r="I77" s="2" t="s">
        <v>150</v>
      </c>
      <c r="J77" s="2" t="s">
        <v>107</v>
      </c>
      <c r="K77" s="2" t="str">
        <f t="shared" ca="1" si="9"/>
        <v>Complete New Product</v>
      </c>
      <c r="L77" s="2" t="str">
        <f t="shared" ca="1" si="10"/>
        <v>Nitin Patil</v>
      </c>
      <c r="M77" s="2" t="str">
        <f t="shared" ca="1" si="11"/>
        <v>Gold</v>
      </c>
      <c r="N77" s="4" t="s">
        <v>112</v>
      </c>
      <c r="O77" s="16">
        <v>44849</v>
      </c>
      <c r="P77" s="16">
        <v>45746</v>
      </c>
      <c r="Q77" s="50" t="str">
        <f t="shared" ca="1" si="12"/>
        <v>Phase 2 - Concept development</v>
      </c>
      <c r="R77" s="16"/>
      <c r="S77" s="16"/>
      <c r="T77" s="16"/>
      <c r="U77" s="51" t="str">
        <f t="shared" ca="1" si="14"/>
        <v>Killed</v>
      </c>
      <c r="V77" s="2" t="s">
        <v>153</v>
      </c>
      <c r="W77" s="4" t="s">
        <v>160</v>
      </c>
      <c r="X77" s="38"/>
    </row>
    <row r="78" spans="1:24" customFormat="1" ht="45">
      <c r="A78" s="3">
        <v>77</v>
      </c>
      <c r="B78" s="5" t="s">
        <v>289</v>
      </c>
      <c r="C78" s="28" t="str">
        <f t="shared" si="13"/>
        <v>Test Stand Development</v>
      </c>
      <c r="D78" s="4" t="s">
        <v>1</v>
      </c>
      <c r="E78" s="5" t="s">
        <v>282</v>
      </c>
      <c r="F78" s="5" t="s">
        <v>295</v>
      </c>
      <c r="G78" s="2" t="s">
        <v>716</v>
      </c>
      <c r="H78" s="2" t="str">
        <f t="shared" si="8"/>
        <v>Semi-Conductor</v>
      </c>
      <c r="I78" s="5"/>
      <c r="J78" s="2" t="s">
        <v>107</v>
      </c>
      <c r="K78" s="2" t="str">
        <f t="shared" ca="1" si="9"/>
        <v>Major Change</v>
      </c>
      <c r="L78" s="2" t="str">
        <f t="shared" ca="1" si="10"/>
        <v>Praveen Patil</v>
      </c>
      <c r="M78" s="2" t="str">
        <f t="shared" ca="1" si="11"/>
        <v>Silver</v>
      </c>
      <c r="N78" s="4" t="s">
        <v>112</v>
      </c>
      <c r="O78" s="17">
        <v>44926</v>
      </c>
      <c r="P78" s="16">
        <v>45716</v>
      </c>
      <c r="Q78" s="50" t="str">
        <f t="shared" ca="1" si="12"/>
        <v>Phase 5 - Production</v>
      </c>
      <c r="R78" s="16"/>
      <c r="S78" s="16"/>
      <c r="T78" s="16"/>
      <c r="U78" s="51" t="str">
        <f t="shared" ca="1" si="14"/>
        <v>Killed</v>
      </c>
      <c r="V78" s="2" t="s">
        <v>153</v>
      </c>
      <c r="W78" s="25" t="s">
        <v>467</v>
      </c>
      <c r="X78" s="38"/>
    </row>
    <row r="79" spans="1:24" customFormat="1">
      <c r="A79" s="3">
        <v>78</v>
      </c>
      <c r="B79" s="5" t="s">
        <v>290</v>
      </c>
      <c r="C79" s="28" t="str">
        <f t="shared" si="13"/>
        <v>Test Stand Development</v>
      </c>
      <c r="D79" s="4" t="s">
        <v>1</v>
      </c>
      <c r="E79" s="5" t="s">
        <v>258</v>
      </c>
      <c r="F79" s="5" t="s">
        <v>295</v>
      </c>
      <c r="G79" s="2" t="s">
        <v>717</v>
      </c>
      <c r="H79" s="2" t="str">
        <f t="shared" si="8"/>
        <v>Semi-Conductor</v>
      </c>
      <c r="I79" s="5"/>
      <c r="J79" s="2" t="s">
        <v>107</v>
      </c>
      <c r="K79" s="2" t="str">
        <f t="shared" ca="1" si="9"/>
        <v>Minor Change</v>
      </c>
      <c r="L79" s="2" t="str">
        <f t="shared" ca="1" si="10"/>
        <v>Vinod Ghatge</v>
      </c>
      <c r="M79" s="2" t="str">
        <f t="shared" ca="1" si="11"/>
        <v>Bronze</v>
      </c>
      <c r="N79" s="4" t="s">
        <v>112</v>
      </c>
      <c r="O79" s="21" t="s">
        <v>159</v>
      </c>
      <c r="P79" s="16" t="s">
        <v>167</v>
      </c>
      <c r="Q79" s="50" t="str">
        <f t="shared" ca="1" si="12"/>
        <v>Phase 5 - Production</v>
      </c>
      <c r="R79" s="16"/>
      <c r="S79" s="16"/>
      <c r="T79" s="16"/>
      <c r="U79" s="51" t="str">
        <f t="shared" ca="1" si="14"/>
        <v>In-Process</v>
      </c>
      <c r="V79" s="2" t="s">
        <v>153</v>
      </c>
      <c r="W79" s="25" t="s">
        <v>156</v>
      </c>
      <c r="X79" s="38"/>
    </row>
    <row r="80" spans="1:24" customFormat="1">
      <c r="A80" s="14">
        <v>79</v>
      </c>
      <c r="B80" s="11" t="s">
        <v>291</v>
      </c>
      <c r="C80" s="28" t="str">
        <f t="shared" si="13"/>
        <v/>
      </c>
      <c r="D80" s="11"/>
      <c r="E80" s="5" t="s">
        <v>283</v>
      </c>
      <c r="F80" s="11"/>
      <c r="G80" s="2" t="s">
        <v>716</v>
      </c>
      <c r="H80" s="2" t="str">
        <f t="shared" si="8"/>
        <v/>
      </c>
      <c r="I80" s="11"/>
      <c r="J80" s="11"/>
      <c r="K80" s="2" t="str">
        <f t="shared" ca="1" si="9"/>
        <v>Major Change</v>
      </c>
      <c r="L80" s="2" t="str">
        <f t="shared" ca="1" si="10"/>
        <v>Vinod Ghatge</v>
      </c>
      <c r="M80" s="2" t="str">
        <f t="shared" ca="1" si="11"/>
        <v>Diamond</v>
      </c>
      <c r="N80" s="11"/>
      <c r="O80" s="32"/>
      <c r="P80" s="3"/>
      <c r="Q80" s="50" t="str">
        <f t="shared" ca="1" si="12"/>
        <v>Phase 0</v>
      </c>
      <c r="R80" s="3"/>
      <c r="S80" s="3"/>
      <c r="T80" s="3"/>
      <c r="U80" s="51" t="str">
        <f t="shared" ca="1" si="14"/>
        <v>In-Process</v>
      </c>
      <c r="V80" s="11"/>
      <c r="W80" s="41"/>
      <c r="X80" s="38"/>
    </row>
    <row r="81" spans="1:24" customFormat="1" ht="45">
      <c r="A81" s="27">
        <v>80</v>
      </c>
      <c r="B81" s="72" t="s">
        <v>292</v>
      </c>
      <c r="C81" s="28" t="str">
        <f t="shared" si="13"/>
        <v>Test Stand Development</v>
      </c>
      <c r="D81" s="35" t="s">
        <v>1</v>
      </c>
      <c r="E81" s="72" t="s">
        <v>259</v>
      </c>
      <c r="F81" s="72" t="s">
        <v>295</v>
      </c>
      <c r="G81" s="2" t="s">
        <v>717</v>
      </c>
      <c r="H81" s="2" t="str">
        <f t="shared" si="8"/>
        <v>Semi-Conductor</v>
      </c>
      <c r="I81" s="72"/>
      <c r="J81" s="28" t="s">
        <v>107</v>
      </c>
      <c r="K81" s="2" t="str">
        <f t="shared" ca="1" si="9"/>
        <v>Minor Change</v>
      </c>
      <c r="L81" s="2" t="str">
        <f t="shared" ca="1" si="10"/>
        <v>Krishna Rashtrakut</v>
      </c>
      <c r="M81" s="2" t="str">
        <f t="shared" ca="1" si="11"/>
        <v>Bronze</v>
      </c>
      <c r="N81" s="35" t="s">
        <v>111</v>
      </c>
      <c r="O81" s="66">
        <v>44926</v>
      </c>
      <c r="P81" s="29">
        <v>45199</v>
      </c>
      <c r="Q81" s="50" t="str">
        <f t="shared" ca="1" si="12"/>
        <v>Phase 5 - Production</v>
      </c>
      <c r="R81" s="29"/>
      <c r="S81" s="29"/>
      <c r="T81" s="29"/>
      <c r="U81" s="51" t="str">
        <f t="shared" ca="1" si="14"/>
        <v>On-Hold</v>
      </c>
      <c r="V81" s="28" t="s">
        <v>153</v>
      </c>
      <c r="W81" s="67" t="s">
        <v>344</v>
      </c>
      <c r="X81" s="38"/>
    </row>
    <row r="82" spans="1:24" customFormat="1" ht="30">
      <c r="A82" s="27">
        <v>81</v>
      </c>
      <c r="B82" s="72" t="s">
        <v>293</v>
      </c>
      <c r="C82" s="28" t="str">
        <f t="shared" si="13"/>
        <v>Test Stand Development</v>
      </c>
      <c r="D82" s="35" t="s">
        <v>1</v>
      </c>
      <c r="E82" s="44" t="s">
        <v>294</v>
      </c>
      <c r="F82" s="72" t="s">
        <v>165</v>
      </c>
      <c r="G82" s="72" t="s">
        <v>718</v>
      </c>
      <c r="H82" s="2" t="str">
        <f t="shared" si="8"/>
        <v>Semi-Conductor</v>
      </c>
      <c r="I82" s="43" t="s">
        <v>296</v>
      </c>
      <c r="J82" s="28" t="s">
        <v>107</v>
      </c>
      <c r="K82" s="2" t="str">
        <f t="shared" ca="1" si="9"/>
        <v>Minor Change</v>
      </c>
      <c r="L82" s="2" t="str">
        <f t="shared" ca="1" si="10"/>
        <v>Praveen Patil</v>
      </c>
      <c r="M82" s="2" t="str">
        <f t="shared" ca="1" si="11"/>
        <v>Diamond</v>
      </c>
      <c r="N82" s="72" t="s">
        <v>112</v>
      </c>
      <c r="O82" s="49">
        <v>44926</v>
      </c>
      <c r="P82" s="29">
        <v>45199</v>
      </c>
      <c r="Q82" s="50" t="str">
        <f t="shared" ca="1" si="12"/>
        <v>Phase 4 - Validation</v>
      </c>
      <c r="R82" s="29"/>
      <c r="S82" s="29"/>
      <c r="T82" s="29"/>
      <c r="U82" s="51" t="str">
        <f t="shared" ca="1" si="14"/>
        <v>Killed</v>
      </c>
      <c r="V82" s="28" t="s">
        <v>153</v>
      </c>
      <c r="W82" s="67" t="s">
        <v>408</v>
      </c>
      <c r="X82" s="38"/>
    </row>
    <row r="83" spans="1:24" customFormat="1">
      <c r="A83" s="27">
        <v>82</v>
      </c>
      <c r="B83" s="43" t="s">
        <v>260</v>
      </c>
      <c r="C83" s="28" t="str">
        <f t="shared" si="13"/>
        <v>Product Certification</v>
      </c>
      <c r="D83" s="28" t="s">
        <v>94</v>
      </c>
      <c r="E83" s="43" t="s">
        <v>261</v>
      </c>
      <c r="F83" s="28" t="s">
        <v>106</v>
      </c>
      <c r="G83" s="28"/>
      <c r="H83" s="2" t="str">
        <f t="shared" si="8"/>
        <v>Oil &amp; Gas</v>
      </c>
      <c r="I83" s="28" t="s">
        <v>7</v>
      </c>
      <c r="J83" s="28" t="s">
        <v>107</v>
      </c>
      <c r="K83" s="2" t="str">
        <f t="shared" ca="1" si="9"/>
        <v>Complete New Product</v>
      </c>
      <c r="L83" s="2" t="str">
        <f t="shared" ca="1" si="10"/>
        <v>Vinod Ghatge</v>
      </c>
      <c r="M83" s="2" t="str">
        <f t="shared" ca="1" si="11"/>
        <v>Silver</v>
      </c>
      <c r="N83" s="28" t="s">
        <v>223</v>
      </c>
      <c r="O83" s="49">
        <v>44774</v>
      </c>
      <c r="P83" s="51" t="s">
        <v>167</v>
      </c>
      <c r="Q83" s="50" t="str">
        <f t="shared" ca="1" si="12"/>
        <v>Phase 0</v>
      </c>
      <c r="R83" s="51"/>
      <c r="S83" s="51"/>
      <c r="T83" s="51"/>
      <c r="U83" s="51" t="str">
        <f t="shared" ca="1" si="14"/>
        <v>On-Hold</v>
      </c>
      <c r="V83" s="28" t="s">
        <v>153</v>
      </c>
      <c r="W83" s="44" t="s">
        <v>221</v>
      </c>
      <c r="X83" s="38"/>
    </row>
    <row r="84" spans="1:24" customFormat="1">
      <c r="A84" s="14">
        <v>83</v>
      </c>
      <c r="B84" s="11" t="s">
        <v>262</v>
      </c>
      <c r="C84" s="28" t="str">
        <f t="shared" si="13"/>
        <v>Product Certification</v>
      </c>
      <c r="D84" s="2" t="s">
        <v>94</v>
      </c>
      <c r="E84" s="11" t="s">
        <v>455</v>
      </c>
      <c r="F84" s="2" t="s">
        <v>106</v>
      </c>
      <c r="G84" s="2"/>
      <c r="H84" s="2" t="str">
        <f t="shared" si="8"/>
        <v>Oil &amp; Gas</v>
      </c>
      <c r="I84" s="2"/>
      <c r="J84" s="2" t="s">
        <v>107</v>
      </c>
      <c r="K84" s="2" t="str">
        <f t="shared" ca="1" si="9"/>
        <v>Major Change</v>
      </c>
      <c r="L84" s="2" t="str">
        <f t="shared" ca="1" si="10"/>
        <v>Nitin Patil</v>
      </c>
      <c r="M84" s="2" t="str">
        <f t="shared" ca="1" si="11"/>
        <v>Bronze</v>
      </c>
      <c r="N84" s="2" t="s">
        <v>223</v>
      </c>
      <c r="O84" s="19">
        <v>44896</v>
      </c>
      <c r="P84" s="16">
        <v>45565</v>
      </c>
      <c r="Q84" s="50" t="str">
        <f t="shared" ca="1" si="12"/>
        <v>Phase 5 - Production</v>
      </c>
      <c r="R84" s="16"/>
      <c r="S84" s="16"/>
      <c r="T84" s="16"/>
      <c r="U84" s="51" t="str">
        <f t="shared" ca="1" si="14"/>
        <v>Killed</v>
      </c>
      <c r="V84" s="2" t="s">
        <v>153</v>
      </c>
      <c r="W84" s="41" t="s">
        <v>581</v>
      </c>
      <c r="X84" s="38"/>
    </row>
    <row r="85" spans="1:24" customFormat="1">
      <c r="A85" s="3">
        <v>84</v>
      </c>
      <c r="B85" s="11" t="s">
        <v>266</v>
      </c>
      <c r="C85" s="28" t="str">
        <f t="shared" si="13"/>
        <v>Product Certification</v>
      </c>
      <c r="D85" s="2" t="s">
        <v>94</v>
      </c>
      <c r="E85" s="11" t="s">
        <v>265</v>
      </c>
      <c r="F85" s="11" t="s">
        <v>263</v>
      </c>
      <c r="G85" s="11"/>
      <c r="H85" s="2" t="str">
        <f t="shared" si="8"/>
        <v>Oil &amp; Gas</v>
      </c>
      <c r="I85" s="2" t="s">
        <v>264</v>
      </c>
      <c r="J85" s="2" t="s">
        <v>107</v>
      </c>
      <c r="K85" s="2" t="str">
        <f t="shared" ca="1" si="9"/>
        <v>Minor Change</v>
      </c>
      <c r="L85" s="2" t="str">
        <f t="shared" ca="1" si="10"/>
        <v>Vinod Ghatge</v>
      </c>
      <c r="M85" s="2" t="str">
        <f t="shared" ca="1" si="11"/>
        <v>Bronze</v>
      </c>
      <c r="N85" s="2" t="s">
        <v>223</v>
      </c>
      <c r="O85" s="19">
        <v>44896</v>
      </c>
      <c r="P85" s="16">
        <v>45565</v>
      </c>
      <c r="Q85" s="50" t="str">
        <f t="shared" ca="1" si="12"/>
        <v>Phase 5 - Production</v>
      </c>
      <c r="R85" s="16"/>
      <c r="S85" s="16"/>
      <c r="T85" s="16"/>
      <c r="U85" s="51" t="str">
        <f t="shared" ca="1" si="14"/>
        <v>Killed</v>
      </c>
      <c r="V85" s="2" t="s">
        <v>153</v>
      </c>
      <c r="W85" s="41" t="s">
        <v>157</v>
      </c>
      <c r="X85" s="38"/>
    </row>
    <row r="86" spans="1:24" ht="30">
      <c r="A86" s="3">
        <v>85</v>
      </c>
      <c r="B86" s="5" t="s">
        <v>267</v>
      </c>
      <c r="C86" s="28" t="str">
        <f t="shared" si="13"/>
        <v>Product Certification</v>
      </c>
      <c r="D86" s="2" t="s">
        <v>94</v>
      </c>
      <c r="E86" s="5" t="s">
        <v>271</v>
      </c>
      <c r="F86" s="5" t="s">
        <v>263</v>
      </c>
      <c r="G86" s="5"/>
      <c r="H86" s="2" t="str">
        <f t="shared" si="8"/>
        <v>Oil &amp; Gas</v>
      </c>
      <c r="I86" s="2"/>
      <c r="J86" s="2" t="s">
        <v>107</v>
      </c>
      <c r="K86" s="2" t="str">
        <f t="shared" ca="1" si="9"/>
        <v>Complete New Product</v>
      </c>
      <c r="L86" s="2" t="str">
        <f t="shared" ca="1" si="10"/>
        <v>Vinod Ghatge</v>
      </c>
      <c r="M86" s="2" t="str">
        <f t="shared" ca="1" si="11"/>
        <v>Platinum</v>
      </c>
      <c r="N86" s="2" t="s">
        <v>223</v>
      </c>
      <c r="O86" s="17">
        <v>44896</v>
      </c>
      <c r="P86" s="16">
        <v>45565</v>
      </c>
      <c r="Q86" s="50" t="str">
        <f t="shared" ca="1" si="12"/>
        <v>Phase 3 - Detail design</v>
      </c>
      <c r="R86" s="16"/>
      <c r="S86" s="16"/>
      <c r="T86" s="16"/>
      <c r="U86" s="51" t="str">
        <f t="shared" ca="1" si="14"/>
        <v>On-Hold</v>
      </c>
      <c r="V86" s="2" t="s">
        <v>153</v>
      </c>
      <c r="W86" s="25" t="s">
        <v>306</v>
      </c>
      <c r="X86" s="10"/>
    </row>
    <row r="87" spans="1:24" customFormat="1">
      <c r="A87" s="27">
        <v>86</v>
      </c>
      <c r="B87" s="43" t="s">
        <v>268</v>
      </c>
      <c r="C87" s="28" t="str">
        <f t="shared" si="13"/>
        <v>Product Certification</v>
      </c>
      <c r="D87" s="28" t="s">
        <v>94</v>
      </c>
      <c r="E87" s="43" t="s">
        <v>269</v>
      </c>
      <c r="F87" s="43" t="s">
        <v>263</v>
      </c>
      <c r="G87" s="43"/>
      <c r="H87" s="2" t="str">
        <f t="shared" si="8"/>
        <v>Oil &amp; Gas</v>
      </c>
      <c r="I87" s="28" t="s">
        <v>270</v>
      </c>
      <c r="J87" s="28" t="s">
        <v>107</v>
      </c>
      <c r="K87" s="2" t="str">
        <f t="shared" ca="1" si="9"/>
        <v>Complete New Product</v>
      </c>
      <c r="L87" s="2" t="str">
        <f t="shared" ca="1" si="10"/>
        <v>Praveen Patil</v>
      </c>
      <c r="M87" s="2" t="str">
        <f t="shared" ca="1" si="11"/>
        <v>Gold</v>
      </c>
      <c r="N87" s="28" t="s">
        <v>223</v>
      </c>
      <c r="O87" s="49">
        <v>44896</v>
      </c>
      <c r="P87" s="51" t="s">
        <v>167</v>
      </c>
      <c r="Q87" s="50" t="str">
        <f t="shared" ca="1" si="12"/>
        <v>Phase 1 - Definition</v>
      </c>
      <c r="R87" s="51"/>
      <c r="S87" s="51"/>
      <c r="T87" s="51"/>
      <c r="U87" s="51" t="str">
        <f t="shared" ca="1" si="14"/>
        <v>On-Hold</v>
      </c>
      <c r="V87" s="28" t="s">
        <v>153</v>
      </c>
      <c r="W87" s="44" t="s">
        <v>229</v>
      </c>
      <c r="X87" s="38"/>
    </row>
    <row r="88" spans="1:24" customFormat="1" ht="30">
      <c r="A88" s="14">
        <v>87</v>
      </c>
      <c r="B88" s="5" t="s">
        <v>297</v>
      </c>
      <c r="C88" s="28" t="str">
        <f t="shared" si="13"/>
        <v>Test Stand Development</v>
      </c>
      <c r="D88" s="42" t="s">
        <v>1</v>
      </c>
      <c r="E88" s="5" t="s">
        <v>281</v>
      </c>
      <c r="F88" s="5" t="s">
        <v>298</v>
      </c>
      <c r="G88" s="5"/>
      <c r="H88" s="2" t="str">
        <f t="shared" si="8"/>
        <v>Semi-Conductor</v>
      </c>
      <c r="I88" s="5" t="s">
        <v>270</v>
      </c>
      <c r="J88" s="2" t="s">
        <v>107</v>
      </c>
      <c r="K88" s="2" t="str">
        <f t="shared" ca="1" si="9"/>
        <v>Major Change</v>
      </c>
      <c r="L88" s="2" t="str">
        <f t="shared" ca="1" si="10"/>
        <v>Nitin Patil</v>
      </c>
      <c r="M88" s="2" t="str">
        <f t="shared" ca="1" si="11"/>
        <v>Gold</v>
      </c>
      <c r="N88" s="5" t="s">
        <v>112</v>
      </c>
      <c r="O88" s="17">
        <v>44896</v>
      </c>
      <c r="P88" s="16">
        <v>45746</v>
      </c>
      <c r="Q88" s="50" t="str">
        <f t="shared" ca="1" si="12"/>
        <v>Phase 1 - Definition</v>
      </c>
      <c r="R88" s="16"/>
      <c r="S88" s="16"/>
      <c r="T88" s="16"/>
      <c r="U88" s="51" t="str">
        <f t="shared" ca="1" si="14"/>
        <v>In-Process</v>
      </c>
      <c r="V88" s="2" t="s">
        <v>153</v>
      </c>
      <c r="W88" s="25" t="s">
        <v>409</v>
      </c>
      <c r="X88" s="38"/>
    </row>
    <row r="89" spans="1:24" customFormat="1">
      <c r="A89" s="27">
        <v>88</v>
      </c>
      <c r="B89" s="72" t="s">
        <v>297</v>
      </c>
      <c r="C89" s="28" t="str">
        <f t="shared" si="13"/>
        <v>Process Development</v>
      </c>
      <c r="D89" s="72" t="s">
        <v>49</v>
      </c>
      <c r="E89" s="72" t="s">
        <v>284</v>
      </c>
      <c r="F89" s="72" t="s">
        <v>298</v>
      </c>
      <c r="G89" s="72"/>
      <c r="H89" s="2" t="str">
        <f t="shared" si="8"/>
        <v>Aerospace</v>
      </c>
      <c r="I89" s="72" t="s">
        <v>300</v>
      </c>
      <c r="J89" s="28" t="s">
        <v>107</v>
      </c>
      <c r="K89" s="2" t="str">
        <f t="shared" ca="1" si="9"/>
        <v>Complete New Product</v>
      </c>
      <c r="L89" s="2" t="str">
        <f t="shared" ca="1" si="10"/>
        <v>Praveen Patil</v>
      </c>
      <c r="M89" s="2" t="str">
        <f t="shared" ca="1" si="11"/>
        <v>Silver</v>
      </c>
      <c r="N89" s="72" t="s">
        <v>112</v>
      </c>
      <c r="O89" s="66">
        <v>44896</v>
      </c>
      <c r="P89" s="66">
        <v>45015</v>
      </c>
      <c r="Q89" s="50" t="str">
        <f t="shared" ca="1" si="12"/>
        <v>Phase 5 - Production</v>
      </c>
      <c r="R89" s="66"/>
      <c r="S89" s="66"/>
      <c r="T89" s="66"/>
      <c r="U89" s="51" t="str">
        <f t="shared" ca="1" si="14"/>
        <v>On-Hold</v>
      </c>
      <c r="V89" s="28" t="s">
        <v>153</v>
      </c>
      <c r="W89" s="67" t="s">
        <v>229</v>
      </c>
      <c r="X89" s="38"/>
    </row>
    <row r="90" spans="1:24">
      <c r="A90" s="27">
        <v>89</v>
      </c>
      <c r="B90" s="35" t="s">
        <v>299</v>
      </c>
      <c r="C90" s="28" t="str">
        <f t="shared" si="13"/>
        <v>Process Development</v>
      </c>
      <c r="D90" s="72" t="s">
        <v>49</v>
      </c>
      <c r="E90" s="72" t="s">
        <v>285</v>
      </c>
      <c r="F90" s="72" t="s">
        <v>538</v>
      </c>
      <c r="G90" s="72"/>
      <c r="H90" s="2" t="str">
        <f t="shared" si="8"/>
        <v>Aerospace</v>
      </c>
      <c r="I90" s="72" t="s">
        <v>300</v>
      </c>
      <c r="J90" s="28" t="s">
        <v>107</v>
      </c>
      <c r="K90" s="2" t="str">
        <f t="shared" ca="1" si="9"/>
        <v>Complete New Product</v>
      </c>
      <c r="L90" s="2" t="str">
        <f t="shared" ca="1" si="10"/>
        <v>Vinod Ghatge</v>
      </c>
      <c r="M90" s="2" t="str">
        <f t="shared" ca="1" si="11"/>
        <v>Gold</v>
      </c>
      <c r="N90" s="72" t="s">
        <v>288</v>
      </c>
      <c r="O90" s="66">
        <v>44896</v>
      </c>
      <c r="P90" s="29">
        <v>45382</v>
      </c>
      <c r="Q90" s="50" t="str">
        <f t="shared" ca="1" si="12"/>
        <v>Phase 0</v>
      </c>
      <c r="R90" s="29"/>
      <c r="S90" s="29"/>
      <c r="T90" s="29"/>
      <c r="U90" s="51" t="str">
        <f t="shared" ca="1" si="14"/>
        <v>On-Hold</v>
      </c>
      <c r="V90" s="28" t="s">
        <v>153</v>
      </c>
      <c r="W90" s="67" t="s">
        <v>229</v>
      </c>
      <c r="X90" s="10"/>
    </row>
    <row r="91" spans="1:24" customFormat="1">
      <c r="A91" s="3">
        <v>90</v>
      </c>
      <c r="B91" s="13" t="s">
        <v>301</v>
      </c>
      <c r="C91" s="28" t="str">
        <f t="shared" si="13"/>
        <v>Process Development</v>
      </c>
      <c r="D91" s="11" t="s">
        <v>49</v>
      </c>
      <c r="E91" s="11" t="s">
        <v>286</v>
      </c>
      <c r="F91" s="11" t="s">
        <v>298</v>
      </c>
      <c r="G91" s="11"/>
      <c r="H91" s="2" t="str">
        <f t="shared" si="8"/>
        <v>Aerospace</v>
      </c>
      <c r="I91" s="11" t="s">
        <v>300</v>
      </c>
      <c r="J91" s="2" t="s">
        <v>107</v>
      </c>
      <c r="K91" s="2" t="str">
        <f t="shared" ca="1" si="9"/>
        <v>Complete New Product</v>
      </c>
      <c r="L91" s="2" t="str">
        <f t="shared" ca="1" si="10"/>
        <v>Nitin Patil</v>
      </c>
      <c r="M91" s="2" t="str">
        <f t="shared" ca="1" si="11"/>
        <v>Gold</v>
      </c>
      <c r="N91" s="11" t="s">
        <v>112</v>
      </c>
      <c r="O91" s="19">
        <v>44896</v>
      </c>
      <c r="P91" s="16">
        <v>45746</v>
      </c>
      <c r="Q91" s="50" t="str">
        <f t="shared" ca="1" si="12"/>
        <v>Phase 3 - Detail design</v>
      </c>
      <c r="R91" s="16"/>
      <c r="S91" s="16"/>
      <c r="T91" s="16"/>
      <c r="U91" s="51" t="str">
        <f t="shared" ca="1" si="14"/>
        <v>Killed</v>
      </c>
      <c r="V91" s="2" t="s">
        <v>153</v>
      </c>
      <c r="W91" s="25" t="s">
        <v>157</v>
      </c>
      <c r="X91" s="38"/>
    </row>
    <row r="92" spans="1:24" customFormat="1" ht="30">
      <c r="A92" s="63">
        <v>91</v>
      </c>
      <c r="B92" s="83" t="s">
        <v>302</v>
      </c>
      <c r="C92" s="28" t="str">
        <f t="shared" si="13"/>
        <v>Process Development</v>
      </c>
      <c r="D92" s="43" t="s">
        <v>49</v>
      </c>
      <c r="E92" s="43" t="s">
        <v>287</v>
      </c>
      <c r="F92" s="43" t="s">
        <v>298</v>
      </c>
      <c r="G92" s="43"/>
      <c r="H92" s="2" t="str">
        <f t="shared" si="8"/>
        <v>Aerospace</v>
      </c>
      <c r="I92" s="43" t="s">
        <v>303</v>
      </c>
      <c r="J92" s="28" t="s">
        <v>107</v>
      </c>
      <c r="K92" s="2" t="str">
        <f t="shared" ca="1" si="9"/>
        <v>Minor Change</v>
      </c>
      <c r="L92" s="2" t="str">
        <f t="shared" ca="1" si="10"/>
        <v>Nitin Patil</v>
      </c>
      <c r="M92" s="2" t="str">
        <f t="shared" ca="1" si="11"/>
        <v>Gold</v>
      </c>
      <c r="N92" s="43" t="s">
        <v>288</v>
      </c>
      <c r="O92" s="49">
        <v>44896</v>
      </c>
      <c r="P92" s="29">
        <v>45291</v>
      </c>
      <c r="Q92" s="50" t="str">
        <f t="shared" ca="1" si="12"/>
        <v>Phase 3 - Detail design</v>
      </c>
      <c r="R92" s="29"/>
      <c r="S92" s="29"/>
      <c r="T92" s="29"/>
      <c r="U92" s="51" t="str">
        <f t="shared" ca="1" si="14"/>
        <v>In-Process</v>
      </c>
      <c r="V92" s="28" t="s">
        <v>153</v>
      </c>
      <c r="W92" s="67" t="s">
        <v>521</v>
      </c>
      <c r="X92" s="38"/>
    </row>
    <row r="93" spans="1:24" ht="30">
      <c r="A93" s="56">
        <v>92</v>
      </c>
      <c r="B93" s="61" t="s">
        <v>313</v>
      </c>
      <c r="C93" s="28" t="str">
        <f t="shared" si="13"/>
        <v>Product Development</v>
      </c>
      <c r="D93" s="58" t="s">
        <v>8</v>
      </c>
      <c r="E93" s="57" t="s">
        <v>310</v>
      </c>
      <c r="F93" s="57" t="s">
        <v>312</v>
      </c>
      <c r="G93" s="57"/>
      <c r="H93" s="2" t="str">
        <f t="shared" si="8"/>
        <v>Govt Railways - Loco</v>
      </c>
      <c r="I93" s="58"/>
      <c r="J93" s="60" t="s">
        <v>107</v>
      </c>
      <c r="K93" s="2" t="str">
        <f t="shared" ca="1" si="9"/>
        <v>Major Change</v>
      </c>
      <c r="L93" s="2" t="str">
        <f t="shared" ca="1" si="10"/>
        <v>Vinod Ghatge</v>
      </c>
      <c r="M93" s="2" t="str">
        <f t="shared" ca="1" si="11"/>
        <v>Bronze</v>
      </c>
      <c r="N93" s="60" t="s">
        <v>335</v>
      </c>
      <c r="O93" s="71">
        <v>44983</v>
      </c>
      <c r="P93" s="71">
        <v>45291</v>
      </c>
      <c r="Q93" s="50" t="str">
        <f t="shared" ca="1" si="12"/>
        <v>Phase 3 - Detail design</v>
      </c>
      <c r="R93" s="71"/>
      <c r="S93" s="71"/>
      <c r="T93" s="71"/>
      <c r="U93" s="51" t="str">
        <f t="shared" ca="1" si="14"/>
        <v>On-Hold</v>
      </c>
      <c r="V93" s="58" t="s">
        <v>154</v>
      </c>
      <c r="W93" s="57" t="s">
        <v>481</v>
      </c>
      <c r="X93" s="10"/>
    </row>
    <row r="94" spans="1:24" customFormat="1" ht="30">
      <c r="A94" s="27">
        <v>93</v>
      </c>
      <c r="B94" s="83" t="s">
        <v>318</v>
      </c>
      <c r="C94" s="28" t="str">
        <f t="shared" si="13"/>
        <v>Test Stand Development</v>
      </c>
      <c r="D94" s="28" t="s">
        <v>1</v>
      </c>
      <c r="E94" s="43" t="s">
        <v>316</v>
      </c>
      <c r="F94" s="43" t="s">
        <v>298</v>
      </c>
      <c r="G94" s="43"/>
      <c r="H94" s="2" t="str">
        <f t="shared" si="8"/>
        <v>Semi-Conductor</v>
      </c>
      <c r="I94" s="43"/>
      <c r="J94" s="28" t="s">
        <v>317</v>
      </c>
      <c r="K94" s="2" t="str">
        <f t="shared" ca="1" si="9"/>
        <v>Complete New Product</v>
      </c>
      <c r="L94" s="2" t="str">
        <f t="shared" ca="1" si="10"/>
        <v>Nitin Patil</v>
      </c>
      <c r="M94" s="2" t="str">
        <f t="shared" ca="1" si="11"/>
        <v>Bronze</v>
      </c>
      <c r="N94" s="43" t="s">
        <v>288</v>
      </c>
      <c r="O94" s="49">
        <v>44855</v>
      </c>
      <c r="P94" s="27" t="s">
        <v>229</v>
      </c>
      <c r="Q94" s="50" t="str">
        <f t="shared" ca="1" si="12"/>
        <v>Phase 1 - Definition</v>
      </c>
      <c r="R94" s="27"/>
      <c r="S94" s="27"/>
      <c r="T94" s="27"/>
      <c r="U94" s="51" t="str">
        <f t="shared" ca="1" si="14"/>
        <v>On-Hold</v>
      </c>
      <c r="V94" s="43" t="s">
        <v>153</v>
      </c>
      <c r="W94" s="44" t="s">
        <v>432</v>
      </c>
      <c r="X94" s="38"/>
    </row>
    <row r="95" spans="1:24" customFormat="1">
      <c r="A95" s="3">
        <v>94</v>
      </c>
      <c r="B95" s="5" t="s">
        <v>468</v>
      </c>
      <c r="C95" s="28" t="str">
        <f t="shared" si="13"/>
        <v>Test Stand Development</v>
      </c>
      <c r="D95" s="4" t="s">
        <v>1</v>
      </c>
      <c r="E95" s="5" t="s">
        <v>323</v>
      </c>
      <c r="F95" s="5" t="s">
        <v>328</v>
      </c>
      <c r="G95" s="5"/>
      <c r="H95" s="2" t="str">
        <f t="shared" si="8"/>
        <v>Semi-Conductor</v>
      </c>
      <c r="I95" s="25"/>
      <c r="J95" s="2" t="s">
        <v>324</v>
      </c>
      <c r="K95" s="2" t="str">
        <f t="shared" ca="1" si="9"/>
        <v>Major Change</v>
      </c>
      <c r="L95" s="2" t="str">
        <f t="shared" ca="1" si="10"/>
        <v>Vinod Ghatge</v>
      </c>
      <c r="M95" s="2" t="str">
        <f t="shared" ca="1" si="11"/>
        <v>Diamond</v>
      </c>
      <c r="N95" s="4" t="s">
        <v>112</v>
      </c>
      <c r="O95" s="17">
        <v>44927</v>
      </c>
      <c r="P95" s="16" t="s">
        <v>167</v>
      </c>
      <c r="Q95" s="50" t="str">
        <f t="shared" ca="1" si="12"/>
        <v>Phase 4 - Validation</v>
      </c>
      <c r="R95" s="16"/>
      <c r="S95" s="16"/>
      <c r="T95" s="16"/>
      <c r="U95" s="51" t="str">
        <f t="shared" ca="1" si="14"/>
        <v>On-Hold</v>
      </c>
      <c r="V95" s="2" t="s">
        <v>153</v>
      </c>
      <c r="W95" s="25" t="s">
        <v>584</v>
      </c>
      <c r="X95" s="38"/>
    </row>
    <row r="96" spans="1:24" customFormat="1">
      <c r="A96" s="14">
        <v>95</v>
      </c>
      <c r="B96" s="13" t="s">
        <v>469</v>
      </c>
      <c r="C96" s="28" t="str">
        <f t="shared" si="13"/>
        <v>Test Stand Development</v>
      </c>
      <c r="D96" s="4" t="s">
        <v>1</v>
      </c>
      <c r="E96" s="5" t="s">
        <v>325</v>
      </c>
      <c r="F96" s="5" t="s">
        <v>328</v>
      </c>
      <c r="G96" s="5"/>
      <c r="H96" s="2" t="str">
        <f t="shared" si="8"/>
        <v>Semi-Conductor</v>
      </c>
      <c r="I96" s="25"/>
      <c r="J96" s="2" t="s">
        <v>324</v>
      </c>
      <c r="K96" s="2" t="str">
        <f t="shared" ca="1" si="9"/>
        <v>Minor Change</v>
      </c>
      <c r="L96" s="2" t="str">
        <f t="shared" ca="1" si="10"/>
        <v>Vinod Ghatge</v>
      </c>
      <c r="M96" s="2" t="str">
        <f t="shared" ca="1" si="11"/>
        <v>Gold</v>
      </c>
      <c r="N96" s="4" t="s">
        <v>112</v>
      </c>
      <c r="O96" s="17">
        <v>44927</v>
      </c>
      <c r="P96" s="16" t="s">
        <v>167</v>
      </c>
      <c r="Q96" s="50" t="str">
        <f t="shared" ca="1" si="12"/>
        <v>Phase 5 - Production</v>
      </c>
      <c r="R96" s="16"/>
      <c r="S96" s="16"/>
      <c r="T96" s="16"/>
      <c r="U96" s="51" t="str">
        <f t="shared" ca="1" si="14"/>
        <v>In-Process</v>
      </c>
      <c r="V96" s="2" t="s">
        <v>153</v>
      </c>
      <c r="W96" s="25" t="s">
        <v>585</v>
      </c>
      <c r="X96" s="38"/>
    </row>
    <row r="97" spans="1:24" ht="45">
      <c r="A97" s="3">
        <v>96</v>
      </c>
      <c r="B97" s="4" t="s">
        <v>470</v>
      </c>
      <c r="C97" s="28" t="str">
        <f t="shared" si="13"/>
        <v>Test Stand Development</v>
      </c>
      <c r="D97" s="4" t="s">
        <v>1</v>
      </c>
      <c r="E97" s="5" t="s">
        <v>326</v>
      </c>
      <c r="F97" s="5" t="s">
        <v>328</v>
      </c>
      <c r="G97" s="5"/>
      <c r="H97" s="2" t="str">
        <f t="shared" si="8"/>
        <v>Semi-Conductor</v>
      </c>
      <c r="I97" s="25"/>
      <c r="J97" s="2" t="s">
        <v>324</v>
      </c>
      <c r="K97" s="2" t="str">
        <f t="shared" ca="1" si="9"/>
        <v>Complete New Product</v>
      </c>
      <c r="L97" s="2" t="str">
        <f t="shared" ca="1" si="10"/>
        <v>Vinod Ghatge</v>
      </c>
      <c r="M97" s="2" t="str">
        <f t="shared" ca="1" si="11"/>
        <v>Gold</v>
      </c>
      <c r="N97" s="4" t="s">
        <v>112</v>
      </c>
      <c r="O97" s="17">
        <v>44713</v>
      </c>
      <c r="P97" s="16">
        <v>45565</v>
      </c>
      <c r="Q97" s="50" t="str">
        <f t="shared" ca="1" si="12"/>
        <v>Phase 5 - Production</v>
      </c>
      <c r="R97" s="16"/>
      <c r="S97" s="16"/>
      <c r="T97" s="16"/>
      <c r="U97" s="51" t="str">
        <f t="shared" ca="1" si="14"/>
        <v>Killed</v>
      </c>
      <c r="V97" s="2" t="s">
        <v>153</v>
      </c>
      <c r="W97" s="25" t="s">
        <v>410</v>
      </c>
      <c r="X97" s="10"/>
    </row>
    <row r="98" spans="1:24" ht="60">
      <c r="A98" s="3">
        <v>97</v>
      </c>
      <c r="B98" s="4" t="s">
        <v>470</v>
      </c>
      <c r="C98" s="28" t="str">
        <f t="shared" si="13"/>
        <v>Test Stand Development</v>
      </c>
      <c r="D98" s="4" t="s">
        <v>1</v>
      </c>
      <c r="E98" s="25" t="s">
        <v>327</v>
      </c>
      <c r="F98" s="5" t="s">
        <v>328</v>
      </c>
      <c r="G98" s="5"/>
      <c r="H98" s="2" t="str">
        <f t="shared" si="8"/>
        <v>Semi-Conductor</v>
      </c>
      <c r="I98" s="25"/>
      <c r="J98" s="2" t="s">
        <v>324</v>
      </c>
      <c r="K98" s="2" t="str">
        <f t="shared" ca="1" si="9"/>
        <v>Minor Change</v>
      </c>
      <c r="L98" s="2" t="str">
        <f t="shared" ca="1" si="10"/>
        <v>Praveen Patil</v>
      </c>
      <c r="M98" s="2" t="str">
        <f t="shared" ca="1" si="11"/>
        <v>Silver</v>
      </c>
      <c r="N98" s="4" t="s">
        <v>112</v>
      </c>
      <c r="O98" s="17">
        <v>44713</v>
      </c>
      <c r="P98" s="16">
        <v>45687</v>
      </c>
      <c r="Q98" s="50" t="str">
        <f t="shared" ca="1" si="12"/>
        <v>Phase 4 - Validation</v>
      </c>
      <c r="R98" s="16"/>
      <c r="S98" s="16"/>
      <c r="T98" s="16"/>
      <c r="U98" s="51" t="str">
        <f t="shared" ca="1" si="14"/>
        <v>In-Process</v>
      </c>
      <c r="V98" s="2" t="s">
        <v>153</v>
      </c>
      <c r="W98" s="25" t="s">
        <v>411</v>
      </c>
      <c r="X98" s="10"/>
    </row>
    <row r="99" spans="1:24" ht="35.25" customHeight="1">
      <c r="A99" s="3">
        <v>98</v>
      </c>
      <c r="B99" s="4" t="s">
        <v>470</v>
      </c>
      <c r="C99" s="28" t="str">
        <f t="shared" si="13"/>
        <v>Test Stand Development</v>
      </c>
      <c r="D99" s="42" t="s">
        <v>1</v>
      </c>
      <c r="E99" s="5" t="s">
        <v>329</v>
      </c>
      <c r="F99" s="5" t="s">
        <v>330</v>
      </c>
      <c r="G99" s="5"/>
      <c r="H99" s="2" t="str">
        <f t="shared" si="8"/>
        <v>Semi-Conductor</v>
      </c>
      <c r="I99" s="5" t="s">
        <v>330</v>
      </c>
      <c r="J99" s="5" t="s">
        <v>107</v>
      </c>
      <c r="K99" s="2" t="str">
        <f t="shared" ca="1" si="9"/>
        <v>Minor Change</v>
      </c>
      <c r="L99" s="2" t="str">
        <f t="shared" ca="1" si="10"/>
        <v>Vinod Ghatge</v>
      </c>
      <c r="M99" s="2" t="str">
        <f t="shared" ca="1" si="11"/>
        <v>Gold</v>
      </c>
      <c r="N99" s="5" t="s">
        <v>112</v>
      </c>
      <c r="O99" s="17">
        <v>44927</v>
      </c>
      <c r="P99" s="16" t="s">
        <v>167</v>
      </c>
      <c r="Q99" s="50" t="str">
        <f t="shared" ca="1" si="12"/>
        <v>Phase 1 - Definition</v>
      </c>
      <c r="R99" s="16"/>
      <c r="S99" s="16"/>
      <c r="T99" s="16"/>
      <c r="U99" s="51" t="str">
        <f t="shared" ca="1" si="14"/>
        <v>Killed</v>
      </c>
      <c r="V99" s="5" t="s">
        <v>153</v>
      </c>
      <c r="W99" s="25" t="s">
        <v>331</v>
      </c>
      <c r="X99" s="10"/>
    </row>
    <row r="100" spans="1:24" ht="30">
      <c r="A100" s="63">
        <v>99</v>
      </c>
      <c r="B100" s="72" t="s">
        <v>372</v>
      </c>
      <c r="C100" s="28" t="str">
        <f t="shared" si="13"/>
        <v>Product Development</v>
      </c>
      <c r="D100" s="35" t="s">
        <v>8</v>
      </c>
      <c r="E100" s="67" t="s">
        <v>333</v>
      </c>
      <c r="F100" s="67" t="s">
        <v>342</v>
      </c>
      <c r="G100" s="67"/>
      <c r="H100" s="2" t="str">
        <f t="shared" si="8"/>
        <v>Govt Railways - Loco</v>
      </c>
      <c r="I100" s="67"/>
      <c r="J100" s="28" t="s">
        <v>337</v>
      </c>
      <c r="K100" s="2" t="str">
        <f t="shared" ca="1" si="9"/>
        <v>Complete New Product</v>
      </c>
      <c r="L100" s="2" t="str">
        <f t="shared" ca="1" si="10"/>
        <v>Vinod Ghatge</v>
      </c>
      <c r="M100" s="2" t="str">
        <f t="shared" ca="1" si="11"/>
        <v>Silver</v>
      </c>
      <c r="N100" s="28" t="s">
        <v>226</v>
      </c>
      <c r="O100" s="66">
        <v>45029</v>
      </c>
      <c r="P100" s="66">
        <v>45080</v>
      </c>
      <c r="Q100" s="50" t="str">
        <f t="shared" ca="1" si="12"/>
        <v>Phase 3 - Detail design</v>
      </c>
      <c r="R100" s="66"/>
      <c r="S100" s="66"/>
      <c r="T100" s="66"/>
      <c r="U100" s="51" t="str">
        <f t="shared" ca="1" si="14"/>
        <v>In-Process</v>
      </c>
      <c r="V100" s="72" t="s">
        <v>154</v>
      </c>
      <c r="W100" s="67" t="s">
        <v>334</v>
      </c>
      <c r="X100" s="10"/>
    </row>
    <row r="101" spans="1:24" ht="30">
      <c r="A101" s="27">
        <v>100</v>
      </c>
      <c r="B101" s="72" t="s">
        <v>373</v>
      </c>
      <c r="C101" s="28" t="str">
        <f t="shared" si="13"/>
        <v>Product Development</v>
      </c>
      <c r="D101" s="35" t="s">
        <v>8</v>
      </c>
      <c r="E101" s="67" t="s">
        <v>341</v>
      </c>
      <c r="F101" s="67" t="s">
        <v>342</v>
      </c>
      <c r="G101" s="67"/>
      <c r="H101" s="2" t="str">
        <f t="shared" si="8"/>
        <v>Govt Railways - Loco</v>
      </c>
      <c r="I101" s="67" t="s">
        <v>340</v>
      </c>
      <c r="J101" s="28" t="s">
        <v>339</v>
      </c>
      <c r="K101" s="2" t="str">
        <f t="shared" ca="1" si="9"/>
        <v>Minor Change</v>
      </c>
      <c r="L101" s="2" t="str">
        <f t="shared" ca="1" si="10"/>
        <v>Praveen Patil</v>
      </c>
      <c r="M101" s="2" t="str">
        <f t="shared" ca="1" si="11"/>
        <v>Silver</v>
      </c>
      <c r="N101" s="28" t="s">
        <v>226</v>
      </c>
      <c r="O101" s="66" t="s">
        <v>159</v>
      </c>
      <c r="P101" s="29" t="s">
        <v>167</v>
      </c>
      <c r="Q101" s="50" t="str">
        <f t="shared" ca="1" si="12"/>
        <v>Phase 1 - Definition</v>
      </c>
      <c r="R101" s="29"/>
      <c r="S101" s="29"/>
      <c r="T101" s="29"/>
      <c r="U101" s="51" t="str">
        <f t="shared" ca="1" si="14"/>
        <v>In-Process</v>
      </c>
      <c r="V101" s="72" t="s">
        <v>154</v>
      </c>
      <c r="W101" s="67" t="s">
        <v>229</v>
      </c>
      <c r="X101" s="10"/>
    </row>
    <row r="102" spans="1:24" ht="30">
      <c r="A102" s="56">
        <v>101</v>
      </c>
      <c r="B102" s="58" t="s">
        <v>374</v>
      </c>
      <c r="C102" s="28" t="str">
        <f t="shared" si="13"/>
        <v>Product Development</v>
      </c>
      <c r="D102" s="61" t="s">
        <v>8</v>
      </c>
      <c r="E102" s="57" t="s">
        <v>343</v>
      </c>
      <c r="F102" s="57" t="s">
        <v>342</v>
      </c>
      <c r="G102" s="57"/>
      <c r="H102" s="2" t="str">
        <f t="shared" si="8"/>
        <v>Govt Railways - Loco</v>
      </c>
      <c r="I102" s="58" t="s">
        <v>386</v>
      </c>
      <c r="J102" s="58" t="s">
        <v>107</v>
      </c>
      <c r="K102" s="2" t="str">
        <f t="shared" ca="1" si="9"/>
        <v>Major Change</v>
      </c>
      <c r="L102" s="2" t="str">
        <f t="shared" ca="1" si="10"/>
        <v>Praveen Patil</v>
      </c>
      <c r="M102" s="2" t="str">
        <f t="shared" ca="1" si="11"/>
        <v>Gold</v>
      </c>
      <c r="N102" s="60" t="s">
        <v>226</v>
      </c>
      <c r="O102" s="71">
        <v>45133</v>
      </c>
      <c r="P102" s="71">
        <v>45291</v>
      </c>
      <c r="Q102" s="50" t="str">
        <f t="shared" ca="1" si="12"/>
        <v>Phase 3 - Detail design</v>
      </c>
      <c r="R102" s="71"/>
      <c r="S102" s="71"/>
      <c r="T102" s="71"/>
      <c r="U102" s="51" t="str">
        <f t="shared" ca="1" si="14"/>
        <v>Killed</v>
      </c>
      <c r="V102" s="58" t="s">
        <v>154</v>
      </c>
      <c r="W102" s="57" t="s">
        <v>497</v>
      </c>
      <c r="X102" s="10"/>
    </row>
    <row r="103" spans="1:24">
      <c r="A103" s="56">
        <v>102</v>
      </c>
      <c r="B103" s="58" t="s">
        <v>375</v>
      </c>
      <c r="C103" s="28" t="str">
        <f t="shared" si="13"/>
        <v>Process Development</v>
      </c>
      <c r="D103" s="58" t="s">
        <v>49</v>
      </c>
      <c r="E103" s="58" t="s">
        <v>345</v>
      </c>
      <c r="F103" s="58" t="s">
        <v>347</v>
      </c>
      <c r="G103" s="58"/>
      <c r="H103" s="2" t="str">
        <f t="shared" si="8"/>
        <v>Aerospace</v>
      </c>
      <c r="I103" s="58" t="s">
        <v>300</v>
      </c>
      <c r="J103" s="60" t="s">
        <v>107</v>
      </c>
      <c r="K103" s="2" t="str">
        <f t="shared" ca="1" si="9"/>
        <v>Minor Change</v>
      </c>
      <c r="L103" s="2" t="str">
        <f t="shared" ca="1" si="10"/>
        <v>Krishna Rashtrakut</v>
      </c>
      <c r="M103" s="2" t="str">
        <f t="shared" ca="1" si="11"/>
        <v>Diamond</v>
      </c>
      <c r="N103" s="58" t="s">
        <v>288</v>
      </c>
      <c r="O103" s="71">
        <v>45016</v>
      </c>
      <c r="P103" s="62">
        <v>45382</v>
      </c>
      <c r="Q103" s="50" t="str">
        <f t="shared" ca="1" si="12"/>
        <v>Phase 3 - Detail design</v>
      </c>
      <c r="R103" s="62"/>
      <c r="S103" s="62"/>
      <c r="T103" s="62"/>
      <c r="U103" s="51" t="str">
        <f t="shared" ca="1" si="14"/>
        <v>On-Hold</v>
      </c>
      <c r="V103" s="58" t="s">
        <v>346</v>
      </c>
      <c r="W103" s="57" t="s">
        <v>433</v>
      </c>
      <c r="X103" s="10"/>
    </row>
    <row r="104" spans="1:24" ht="49.15" customHeight="1">
      <c r="A104" s="14">
        <v>103</v>
      </c>
      <c r="B104" s="5" t="s">
        <v>376</v>
      </c>
      <c r="C104" s="28" t="s">
        <v>630</v>
      </c>
      <c r="D104" s="40" t="s">
        <v>332</v>
      </c>
      <c r="E104" s="5" t="s">
        <v>348</v>
      </c>
      <c r="F104" s="5" t="s">
        <v>366</v>
      </c>
      <c r="G104" s="5"/>
      <c r="H104" s="2" t="str">
        <f t="shared" si="8"/>
        <v>Aerospace</v>
      </c>
      <c r="I104" s="5" t="s">
        <v>7</v>
      </c>
      <c r="J104" s="5" t="s">
        <v>107</v>
      </c>
      <c r="K104" s="2" t="str">
        <f t="shared" ca="1" si="9"/>
        <v>Major Change</v>
      </c>
      <c r="L104" s="2" t="str">
        <f t="shared" ca="1" si="10"/>
        <v>Nitin Patil</v>
      </c>
      <c r="M104" s="2" t="str">
        <f t="shared" ca="1" si="11"/>
        <v>Platinum</v>
      </c>
      <c r="N104" s="5" t="s">
        <v>350</v>
      </c>
      <c r="O104" s="17">
        <v>44846</v>
      </c>
      <c r="P104" s="17">
        <v>45427</v>
      </c>
      <c r="Q104" s="50" t="str">
        <f t="shared" ca="1" si="12"/>
        <v>Phase 2 - Concept development</v>
      </c>
      <c r="R104" s="17"/>
      <c r="S104" s="17"/>
      <c r="T104" s="17"/>
      <c r="U104" s="51" t="str">
        <f t="shared" ca="1" si="14"/>
        <v>In-Process</v>
      </c>
      <c r="V104" s="7" t="s">
        <v>153</v>
      </c>
      <c r="W104" s="25" t="s">
        <v>580</v>
      </c>
      <c r="X104" s="47"/>
    </row>
    <row r="105" spans="1:24">
      <c r="A105" s="3">
        <v>104</v>
      </c>
      <c r="B105" s="5" t="s">
        <v>377</v>
      </c>
      <c r="C105" s="28" t="s">
        <v>630</v>
      </c>
      <c r="D105" s="5" t="s">
        <v>332</v>
      </c>
      <c r="E105" s="25" t="s">
        <v>351</v>
      </c>
      <c r="F105" s="5" t="s">
        <v>367</v>
      </c>
      <c r="G105" s="5"/>
      <c r="H105" s="2" t="str">
        <f t="shared" si="8"/>
        <v>Aerospace</v>
      </c>
      <c r="I105" s="5" t="s">
        <v>385</v>
      </c>
      <c r="J105" s="5" t="s">
        <v>107</v>
      </c>
      <c r="K105" s="2" t="str">
        <f t="shared" ca="1" si="9"/>
        <v>Complete New Product</v>
      </c>
      <c r="L105" s="2" t="str">
        <f t="shared" ca="1" si="10"/>
        <v>Nitin Patil</v>
      </c>
      <c r="M105" s="2" t="str">
        <f t="shared" ca="1" si="11"/>
        <v>Platinum</v>
      </c>
      <c r="N105" s="5" t="s">
        <v>350</v>
      </c>
      <c r="O105" s="17">
        <v>45137</v>
      </c>
      <c r="P105" s="17">
        <v>45565</v>
      </c>
      <c r="Q105" s="50" t="str">
        <f t="shared" ca="1" si="12"/>
        <v>Phase 2 - Concept development</v>
      </c>
      <c r="R105" s="17"/>
      <c r="S105" s="17"/>
      <c r="T105" s="17"/>
      <c r="U105" s="51" t="str">
        <f t="shared" ca="1" si="14"/>
        <v>Killed</v>
      </c>
      <c r="V105" s="7" t="s">
        <v>153</v>
      </c>
      <c r="W105" s="25" t="s">
        <v>414</v>
      </c>
      <c r="X105" s="10"/>
    </row>
    <row r="106" spans="1:24" customFormat="1">
      <c r="A106" s="3">
        <v>105</v>
      </c>
      <c r="B106" s="11" t="s">
        <v>378</v>
      </c>
      <c r="C106" s="28" t="str">
        <f t="shared" si="13"/>
        <v>Product Certification</v>
      </c>
      <c r="D106" s="11" t="s">
        <v>94</v>
      </c>
      <c r="E106" s="5" t="s">
        <v>352</v>
      </c>
      <c r="F106" s="11" t="s">
        <v>263</v>
      </c>
      <c r="G106" s="11"/>
      <c r="H106" s="2" t="str">
        <f t="shared" si="8"/>
        <v>Oil &amp; Gas</v>
      </c>
      <c r="I106" s="11" t="s">
        <v>381</v>
      </c>
      <c r="J106" s="2" t="s">
        <v>107</v>
      </c>
      <c r="K106" s="2" t="str">
        <f t="shared" ca="1" si="9"/>
        <v>Minor Change</v>
      </c>
      <c r="L106" s="2" t="str">
        <f t="shared" ca="1" si="10"/>
        <v>Vinod Ghatge</v>
      </c>
      <c r="M106" s="2" t="str">
        <f t="shared" ca="1" si="11"/>
        <v>Platinum</v>
      </c>
      <c r="N106" s="11" t="s">
        <v>350</v>
      </c>
      <c r="O106" s="19">
        <v>44896</v>
      </c>
      <c r="P106" s="17">
        <v>45565</v>
      </c>
      <c r="Q106" s="50" t="str">
        <f t="shared" ca="1" si="12"/>
        <v>Phase 2 - Concept development</v>
      </c>
      <c r="R106" s="17"/>
      <c r="S106" s="17"/>
      <c r="T106" s="17"/>
      <c r="U106" s="51" t="str">
        <f t="shared" ca="1" si="14"/>
        <v>On-Hold</v>
      </c>
      <c r="V106" s="5" t="s">
        <v>153</v>
      </c>
      <c r="W106" s="41" t="s">
        <v>428</v>
      </c>
      <c r="X106" s="38"/>
    </row>
    <row r="107" spans="1:24" customFormat="1">
      <c r="A107" s="3">
        <v>106</v>
      </c>
      <c r="B107" s="11" t="s">
        <v>471</v>
      </c>
      <c r="C107" s="28" t="str">
        <f t="shared" si="13"/>
        <v>Product Development</v>
      </c>
      <c r="D107" s="11" t="s">
        <v>363</v>
      </c>
      <c r="E107" s="5" t="s">
        <v>353</v>
      </c>
      <c r="F107" s="11" t="s">
        <v>368</v>
      </c>
      <c r="G107" s="11"/>
      <c r="H107" s="2" t="str">
        <f t="shared" si="8"/>
        <v>Govt Railways - Loco</v>
      </c>
      <c r="I107" s="11"/>
      <c r="J107" s="11"/>
      <c r="K107" s="2" t="str">
        <f t="shared" ca="1" si="9"/>
        <v>Complete New Product</v>
      </c>
      <c r="L107" s="2" t="str">
        <f t="shared" ca="1" si="10"/>
        <v>Praveen Patil</v>
      </c>
      <c r="M107" s="2" t="str">
        <f t="shared" ca="1" si="11"/>
        <v>Gold</v>
      </c>
      <c r="N107" s="11" t="s">
        <v>112</v>
      </c>
      <c r="O107" s="17">
        <v>45016</v>
      </c>
      <c r="P107" s="17" t="s">
        <v>167</v>
      </c>
      <c r="Q107" s="50" t="str">
        <f t="shared" ca="1" si="12"/>
        <v>Phase 3 - Detail design</v>
      </c>
      <c r="R107" s="17"/>
      <c r="S107" s="17"/>
      <c r="T107" s="17"/>
      <c r="U107" s="51" t="str">
        <f t="shared" ca="1" si="14"/>
        <v>Killed</v>
      </c>
      <c r="V107" s="41" t="s">
        <v>153</v>
      </c>
      <c r="W107" s="41" t="s">
        <v>586</v>
      </c>
      <c r="X107" s="38"/>
    </row>
    <row r="108" spans="1:24" customFormat="1">
      <c r="A108" s="63">
        <v>107</v>
      </c>
      <c r="B108" s="43">
        <v>2324</v>
      </c>
      <c r="C108" s="28" t="str">
        <f t="shared" si="13"/>
        <v/>
      </c>
      <c r="D108" s="43" t="s">
        <v>398</v>
      </c>
      <c r="E108" s="72" t="s">
        <v>354</v>
      </c>
      <c r="F108" s="43" t="s">
        <v>399</v>
      </c>
      <c r="G108" s="43"/>
      <c r="H108" s="2" t="str">
        <f t="shared" si="8"/>
        <v/>
      </c>
      <c r="I108" s="43"/>
      <c r="J108" s="43" t="s">
        <v>107</v>
      </c>
      <c r="K108" s="2" t="str">
        <f t="shared" ca="1" si="9"/>
        <v>Complete New Product</v>
      </c>
      <c r="L108" s="2" t="str">
        <f t="shared" ca="1" si="10"/>
        <v>Nitin Patil</v>
      </c>
      <c r="M108" s="2" t="str">
        <f t="shared" ca="1" si="11"/>
        <v>Gold</v>
      </c>
      <c r="N108" s="43" t="s">
        <v>355</v>
      </c>
      <c r="O108" s="66">
        <v>45016</v>
      </c>
      <c r="P108" s="66">
        <v>45229</v>
      </c>
      <c r="Q108" s="50" t="str">
        <f t="shared" ca="1" si="12"/>
        <v>Phase 2 - Concept development</v>
      </c>
      <c r="R108" s="66"/>
      <c r="S108" s="66"/>
      <c r="T108" s="66"/>
      <c r="U108" s="51" t="str">
        <f t="shared" ca="1" si="14"/>
        <v>In-Process</v>
      </c>
      <c r="V108" s="28" t="s">
        <v>153</v>
      </c>
      <c r="W108" s="44" t="s">
        <v>229</v>
      </c>
      <c r="X108" s="38"/>
    </row>
    <row r="109" spans="1:24" ht="30">
      <c r="A109" s="56">
        <v>108</v>
      </c>
      <c r="B109" s="58" t="s">
        <v>379</v>
      </c>
      <c r="C109" s="28" t="str">
        <f t="shared" si="13"/>
        <v>Process Development</v>
      </c>
      <c r="D109" s="58" t="s">
        <v>49</v>
      </c>
      <c r="E109" s="58" t="s">
        <v>356</v>
      </c>
      <c r="F109" s="57" t="s">
        <v>369</v>
      </c>
      <c r="G109" s="57"/>
      <c r="H109" s="2" t="str">
        <f t="shared" si="8"/>
        <v>Aerospace</v>
      </c>
      <c r="I109" s="58"/>
      <c r="J109" s="60" t="s">
        <v>107</v>
      </c>
      <c r="K109" s="2" t="str">
        <f t="shared" ca="1" si="9"/>
        <v>Complete New Product</v>
      </c>
      <c r="L109" s="2" t="str">
        <f t="shared" ca="1" si="10"/>
        <v>Praveen Patil</v>
      </c>
      <c r="M109" s="2" t="str">
        <f t="shared" ca="1" si="11"/>
        <v>Gold</v>
      </c>
      <c r="N109" s="57" t="s">
        <v>357</v>
      </c>
      <c r="O109" s="71">
        <v>45076</v>
      </c>
      <c r="P109" s="71">
        <v>45382</v>
      </c>
      <c r="Q109" s="50" t="str">
        <f t="shared" ca="1" si="12"/>
        <v>Phase 1 - Definition</v>
      </c>
      <c r="R109" s="71"/>
      <c r="S109" s="71"/>
      <c r="T109" s="71"/>
      <c r="U109" s="51" t="str">
        <f t="shared" ca="1" si="14"/>
        <v>In-Process</v>
      </c>
      <c r="V109" s="88" t="s">
        <v>153</v>
      </c>
      <c r="W109" s="57" t="s">
        <v>582</v>
      </c>
      <c r="X109" s="10"/>
    </row>
    <row r="110" spans="1:24" s="26" customFormat="1" ht="30">
      <c r="A110" s="84">
        <v>109</v>
      </c>
      <c r="B110" s="67" t="s">
        <v>380</v>
      </c>
      <c r="C110" s="28" t="str">
        <f t="shared" si="13"/>
        <v>Test Stand Development</v>
      </c>
      <c r="D110" s="67" t="s">
        <v>365</v>
      </c>
      <c r="E110" s="67" t="s">
        <v>358</v>
      </c>
      <c r="F110" s="67" t="s">
        <v>370</v>
      </c>
      <c r="G110" s="67"/>
      <c r="H110" s="2" t="str">
        <f t="shared" si="8"/>
        <v>Semi-Conductor</v>
      </c>
      <c r="I110" s="67" t="s">
        <v>418</v>
      </c>
      <c r="J110" s="67" t="s">
        <v>107</v>
      </c>
      <c r="K110" s="2" t="str">
        <f t="shared" ca="1" si="9"/>
        <v>Minor Change</v>
      </c>
      <c r="L110" s="2" t="str">
        <f t="shared" ca="1" si="10"/>
        <v>Praveen Patil</v>
      </c>
      <c r="M110" s="2" t="str">
        <f t="shared" ca="1" si="11"/>
        <v>Bronze</v>
      </c>
      <c r="N110" s="67" t="s">
        <v>359</v>
      </c>
      <c r="O110" s="85">
        <v>45046</v>
      </c>
      <c r="P110" s="85">
        <v>45199</v>
      </c>
      <c r="Q110" s="50" t="str">
        <f t="shared" ca="1" si="12"/>
        <v>Phase 1 - Definition</v>
      </c>
      <c r="R110" s="85"/>
      <c r="S110" s="85"/>
      <c r="T110" s="85"/>
      <c r="U110" s="51" t="str">
        <f t="shared" ca="1" si="14"/>
        <v>On-Hold</v>
      </c>
      <c r="V110" s="86" t="s">
        <v>153</v>
      </c>
      <c r="W110" s="67" t="s">
        <v>415</v>
      </c>
      <c r="X110" s="45"/>
    </row>
    <row r="111" spans="1:24" customFormat="1">
      <c r="A111" s="3">
        <v>110</v>
      </c>
      <c r="B111" s="11">
        <v>2324</v>
      </c>
      <c r="C111" s="28" t="str">
        <f t="shared" si="13"/>
        <v/>
      </c>
      <c r="D111" s="11"/>
      <c r="E111" s="5" t="s">
        <v>360</v>
      </c>
      <c r="F111" s="11"/>
      <c r="G111" s="11"/>
      <c r="H111" s="2" t="str">
        <f t="shared" si="8"/>
        <v/>
      </c>
      <c r="I111" s="11"/>
      <c r="J111" s="11"/>
      <c r="K111" s="2" t="str">
        <f t="shared" ca="1" si="9"/>
        <v>Minor Change</v>
      </c>
      <c r="L111" s="2" t="str">
        <f t="shared" ca="1" si="10"/>
        <v>Praveen Patil</v>
      </c>
      <c r="M111" s="2" t="str">
        <f t="shared" ca="1" si="11"/>
        <v>Silver</v>
      </c>
      <c r="N111" s="11" t="s">
        <v>361</v>
      </c>
      <c r="O111" s="32"/>
      <c r="P111" s="3"/>
      <c r="Q111" s="50" t="str">
        <f t="shared" ca="1" si="12"/>
        <v>Phase 1 - Definition</v>
      </c>
      <c r="R111" s="3"/>
      <c r="S111" s="3"/>
      <c r="T111" s="3"/>
      <c r="U111" s="51" t="str">
        <f t="shared" ca="1" si="14"/>
        <v>On-Hold</v>
      </c>
      <c r="V111" s="1"/>
      <c r="W111" s="25" t="s">
        <v>349</v>
      </c>
      <c r="X111" s="38"/>
    </row>
    <row r="112" spans="1:24" ht="30">
      <c r="A112" s="14">
        <v>111</v>
      </c>
      <c r="B112" s="5" t="s">
        <v>412</v>
      </c>
      <c r="C112" s="28" t="str">
        <f t="shared" si="13"/>
        <v>Product Development</v>
      </c>
      <c r="D112" s="5" t="s">
        <v>363</v>
      </c>
      <c r="E112" s="5" t="s">
        <v>362</v>
      </c>
      <c r="F112" s="5" t="s">
        <v>366</v>
      </c>
      <c r="G112" s="5"/>
      <c r="H112" s="2" t="str">
        <f t="shared" si="8"/>
        <v>Govt Railways - Loco</v>
      </c>
      <c r="I112" s="5" t="s">
        <v>108</v>
      </c>
      <c r="J112" s="5" t="s">
        <v>107</v>
      </c>
      <c r="K112" s="2" t="str">
        <f t="shared" ca="1" si="9"/>
        <v>Complete New Product</v>
      </c>
      <c r="L112" s="2" t="str">
        <f t="shared" ca="1" si="10"/>
        <v>Vinod Ghatge</v>
      </c>
      <c r="M112" s="2" t="str">
        <f t="shared" ca="1" si="11"/>
        <v>Silver</v>
      </c>
      <c r="N112" s="5" t="s">
        <v>430</v>
      </c>
      <c r="O112" s="17">
        <v>45132</v>
      </c>
      <c r="P112" s="17">
        <v>45565</v>
      </c>
      <c r="Q112" s="50" t="str">
        <f t="shared" ca="1" si="12"/>
        <v>Phase 2 - Concept development</v>
      </c>
      <c r="R112" s="17"/>
      <c r="S112" s="17"/>
      <c r="T112" s="17"/>
      <c r="U112" s="51" t="str">
        <f t="shared" ca="1" si="14"/>
        <v>On-Hold</v>
      </c>
      <c r="V112" s="7" t="s">
        <v>153</v>
      </c>
      <c r="W112" s="25" t="s">
        <v>311</v>
      </c>
      <c r="X112" s="10"/>
    </row>
    <row r="113" spans="1:24" ht="60">
      <c r="A113" s="3">
        <v>112</v>
      </c>
      <c r="B113" s="5" t="s">
        <v>412</v>
      </c>
      <c r="C113" s="28" t="str">
        <f t="shared" si="13"/>
        <v>Product Development</v>
      </c>
      <c r="D113" s="5" t="s">
        <v>363</v>
      </c>
      <c r="E113" s="5" t="s">
        <v>364</v>
      </c>
      <c r="F113" s="5" t="s">
        <v>366</v>
      </c>
      <c r="G113" s="5"/>
      <c r="H113" s="2" t="str">
        <f t="shared" si="8"/>
        <v>Govt Railways - Loco</v>
      </c>
      <c r="I113" s="5"/>
      <c r="J113" s="5" t="s">
        <v>107</v>
      </c>
      <c r="K113" s="2" t="str">
        <f t="shared" ca="1" si="9"/>
        <v>Major Change</v>
      </c>
      <c r="L113" s="2" t="str">
        <f t="shared" ca="1" si="10"/>
        <v>Vinod Ghatge</v>
      </c>
      <c r="M113" s="2" t="str">
        <f t="shared" ca="1" si="11"/>
        <v>Platinum</v>
      </c>
      <c r="N113" s="5" t="s">
        <v>279</v>
      </c>
      <c r="O113" s="17">
        <v>45078</v>
      </c>
      <c r="P113" s="17">
        <v>45565</v>
      </c>
      <c r="Q113" s="50" t="str">
        <f t="shared" ca="1" si="12"/>
        <v>Phase 3 - Detail design</v>
      </c>
      <c r="R113" s="17"/>
      <c r="S113" s="17"/>
      <c r="T113" s="17"/>
      <c r="U113" s="51" t="str">
        <f t="shared" ca="1" si="14"/>
        <v>In-Process</v>
      </c>
      <c r="V113" s="5" t="s">
        <v>153</v>
      </c>
      <c r="W113" s="25" t="s">
        <v>434</v>
      </c>
      <c r="X113" s="10"/>
    </row>
    <row r="114" spans="1:24" customFormat="1" ht="60">
      <c r="A114" s="24">
        <v>113</v>
      </c>
      <c r="B114" s="5" t="s">
        <v>446</v>
      </c>
      <c r="C114" s="28" t="str">
        <f t="shared" si="13"/>
        <v>Product Development</v>
      </c>
      <c r="D114" s="33" t="s">
        <v>363</v>
      </c>
      <c r="E114" s="33" t="s">
        <v>387</v>
      </c>
      <c r="F114" s="33" t="s">
        <v>366</v>
      </c>
      <c r="G114" s="33"/>
      <c r="H114" s="2" t="str">
        <f t="shared" si="8"/>
        <v>Govt Railways - Loco</v>
      </c>
      <c r="I114" s="33"/>
      <c r="J114" s="33" t="s">
        <v>107</v>
      </c>
      <c r="K114" s="2" t="str">
        <f t="shared" ca="1" si="9"/>
        <v>Major Change</v>
      </c>
      <c r="L114" s="2" t="str">
        <f t="shared" ca="1" si="10"/>
        <v>Nitin Patil</v>
      </c>
      <c r="M114" s="2" t="str">
        <f t="shared" ca="1" si="11"/>
        <v>Diamond</v>
      </c>
      <c r="N114" s="33" t="s">
        <v>279</v>
      </c>
      <c r="O114" s="30">
        <v>45168</v>
      </c>
      <c r="P114" s="17">
        <v>45565</v>
      </c>
      <c r="Q114" s="50" t="str">
        <f t="shared" ca="1" si="12"/>
        <v>Phase 2 - Concept development</v>
      </c>
      <c r="R114" s="17"/>
      <c r="S114" s="17"/>
      <c r="T114" s="17"/>
      <c r="U114" s="51" t="str">
        <f t="shared" ca="1" si="14"/>
        <v>On-Hold</v>
      </c>
      <c r="V114" s="5" t="s">
        <v>153</v>
      </c>
      <c r="W114" s="25" t="s">
        <v>522</v>
      </c>
      <c r="X114" s="38"/>
    </row>
    <row r="115" spans="1:24" customFormat="1" ht="60">
      <c r="A115" s="56">
        <v>114</v>
      </c>
      <c r="B115" s="58" t="s">
        <v>447</v>
      </c>
      <c r="C115" s="28" t="str">
        <f t="shared" si="13"/>
        <v>Product Development</v>
      </c>
      <c r="D115" s="75" t="s">
        <v>363</v>
      </c>
      <c r="E115" s="75" t="s">
        <v>388</v>
      </c>
      <c r="F115" s="75" t="s">
        <v>366</v>
      </c>
      <c r="G115" s="75"/>
      <c r="H115" s="2" t="str">
        <f t="shared" si="8"/>
        <v>Govt Railways - Loco</v>
      </c>
      <c r="I115" s="75"/>
      <c r="J115" s="75" t="s">
        <v>107</v>
      </c>
      <c r="K115" s="2" t="str">
        <f t="shared" ca="1" si="9"/>
        <v>Complete New Product</v>
      </c>
      <c r="L115" s="2" t="str">
        <f t="shared" ca="1" si="10"/>
        <v>Nitin Patil</v>
      </c>
      <c r="M115" s="2" t="str">
        <f t="shared" ca="1" si="11"/>
        <v>Platinum</v>
      </c>
      <c r="N115" s="75" t="s">
        <v>279</v>
      </c>
      <c r="O115" s="77">
        <v>45168</v>
      </c>
      <c r="P115" s="77">
        <v>45260</v>
      </c>
      <c r="Q115" s="50" t="str">
        <f t="shared" ca="1" si="12"/>
        <v>Phase 4 - Validation</v>
      </c>
      <c r="R115" s="77"/>
      <c r="S115" s="77"/>
      <c r="T115" s="77"/>
      <c r="U115" s="51" t="str">
        <f t="shared" ca="1" si="14"/>
        <v>On-Hold</v>
      </c>
      <c r="V115" s="58" t="s">
        <v>153</v>
      </c>
      <c r="W115" s="57" t="s">
        <v>435</v>
      </c>
      <c r="X115" s="38"/>
    </row>
    <row r="116" spans="1:24" customFormat="1">
      <c r="A116" s="74">
        <v>115</v>
      </c>
      <c r="B116" s="58" t="s">
        <v>448</v>
      </c>
      <c r="C116" s="28" t="str">
        <f t="shared" si="13"/>
        <v>Product Development</v>
      </c>
      <c r="D116" s="75" t="s">
        <v>363</v>
      </c>
      <c r="E116" s="75" t="s">
        <v>389</v>
      </c>
      <c r="F116" s="75" t="s">
        <v>390</v>
      </c>
      <c r="G116" s="75"/>
      <c r="H116" s="2" t="str">
        <f t="shared" si="8"/>
        <v>Govt Railways - Loco</v>
      </c>
      <c r="I116" s="75" t="s">
        <v>300</v>
      </c>
      <c r="J116" s="75" t="s">
        <v>107</v>
      </c>
      <c r="K116" s="2" t="str">
        <f t="shared" ca="1" si="9"/>
        <v>Minor Change</v>
      </c>
      <c r="L116" s="2" t="str">
        <f t="shared" ca="1" si="10"/>
        <v>Praveen Patil</v>
      </c>
      <c r="M116" s="2" t="str">
        <f t="shared" ca="1" si="11"/>
        <v>Platinum</v>
      </c>
      <c r="N116" s="75" t="s">
        <v>279</v>
      </c>
      <c r="O116" s="77">
        <v>45168</v>
      </c>
      <c r="P116" s="62">
        <v>45291</v>
      </c>
      <c r="Q116" s="50" t="str">
        <f t="shared" ca="1" si="12"/>
        <v>Phase 5 - Production</v>
      </c>
      <c r="R116" s="62"/>
      <c r="S116" s="62"/>
      <c r="T116" s="62"/>
      <c r="U116" s="51" t="str">
        <f t="shared" ca="1" si="14"/>
        <v>In-Process</v>
      </c>
      <c r="V116" s="58" t="s">
        <v>153</v>
      </c>
      <c r="W116" s="79" t="s">
        <v>395</v>
      </c>
      <c r="X116" s="38"/>
    </row>
    <row r="117" spans="1:24" customFormat="1">
      <c r="A117" s="3">
        <v>116</v>
      </c>
      <c r="B117" s="5" t="s">
        <v>449</v>
      </c>
      <c r="C117" s="28" t="str">
        <f t="shared" si="13"/>
        <v>Product Development</v>
      </c>
      <c r="D117" s="33" t="s">
        <v>363</v>
      </c>
      <c r="E117" s="33" t="s">
        <v>391</v>
      </c>
      <c r="F117" s="33" t="s">
        <v>392</v>
      </c>
      <c r="G117" s="33"/>
      <c r="H117" s="2" t="str">
        <f t="shared" si="8"/>
        <v>Govt Railways - Loco</v>
      </c>
      <c r="I117" s="33" t="s">
        <v>396</v>
      </c>
      <c r="J117" s="33" t="s">
        <v>107</v>
      </c>
      <c r="K117" s="2" t="str">
        <f t="shared" ca="1" si="9"/>
        <v>Major Change</v>
      </c>
      <c r="L117" s="2" t="str">
        <f t="shared" ca="1" si="10"/>
        <v>Praveen Patil</v>
      </c>
      <c r="M117" s="2" t="str">
        <f t="shared" ca="1" si="11"/>
        <v>Diamond</v>
      </c>
      <c r="N117" s="33" t="s">
        <v>279</v>
      </c>
      <c r="O117" s="30">
        <v>45200</v>
      </c>
      <c r="P117" s="17">
        <v>45565</v>
      </c>
      <c r="Q117" s="50" t="str">
        <f t="shared" ca="1" si="12"/>
        <v>Phase 0</v>
      </c>
      <c r="R117" s="17"/>
      <c r="S117" s="17"/>
      <c r="T117" s="17"/>
      <c r="U117" s="51" t="str">
        <f t="shared" ca="1" si="14"/>
        <v>Killed</v>
      </c>
      <c r="V117" s="5" t="s">
        <v>153</v>
      </c>
      <c r="W117" s="41" t="s">
        <v>436</v>
      </c>
      <c r="X117" s="38"/>
    </row>
    <row r="118" spans="1:24" customFormat="1" ht="45">
      <c r="A118" s="24">
        <v>117</v>
      </c>
      <c r="B118" s="5" t="s">
        <v>450</v>
      </c>
      <c r="C118" s="28" t="str">
        <f t="shared" si="13"/>
        <v>Product Development</v>
      </c>
      <c r="D118" s="33" t="s">
        <v>363</v>
      </c>
      <c r="E118" s="46" t="s">
        <v>393</v>
      </c>
      <c r="F118" s="33" t="s">
        <v>394</v>
      </c>
      <c r="G118" s="33"/>
      <c r="H118" s="2" t="str">
        <f t="shared" si="8"/>
        <v>Govt Railways - Loco</v>
      </c>
      <c r="I118" s="33" t="s">
        <v>396</v>
      </c>
      <c r="J118" s="33" t="s">
        <v>107</v>
      </c>
      <c r="K118" s="2" t="str">
        <f t="shared" ca="1" si="9"/>
        <v>Minor Change</v>
      </c>
      <c r="L118" s="2" t="str">
        <f t="shared" ca="1" si="10"/>
        <v>Praveen Patil</v>
      </c>
      <c r="M118" s="2" t="str">
        <f t="shared" ca="1" si="11"/>
        <v>Gold</v>
      </c>
      <c r="N118" s="33" t="s">
        <v>279</v>
      </c>
      <c r="O118" s="30">
        <v>45200</v>
      </c>
      <c r="P118" s="17">
        <v>45565</v>
      </c>
      <c r="Q118" s="50" t="str">
        <f t="shared" ca="1" si="12"/>
        <v>Phase 4 - Validation</v>
      </c>
      <c r="R118" s="17"/>
      <c r="S118" s="17"/>
      <c r="T118" s="17"/>
      <c r="U118" s="51" t="str">
        <f t="shared" ca="1" si="14"/>
        <v>In-Process</v>
      </c>
      <c r="V118" s="5" t="s">
        <v>153</v>
      </c>
      <c r="W118" s="41" t="s">
        <v>437</v>
      </c>
      <c r="X118" s="38"/>
    </row>
    <row r="119" spans="1:24" ht="30">
      <c r="A119" s="27">
        <v>118</v>
      </c>
      <c r="B119" s="80" t="s">
        <v>403</v>
      </c>
      <c r="C119" s="28" t="str">
        <f t="shared" si="13"/>
        <v>Product Development</v>
      </c>
      <c r="D119" s="35" t="s">
        <v>8</v>
      </c>
      <c r="E119" s="81" t="s">
        <v>404</v>
      </c>
      <c r="F119" s="81" t="s">
        <v>342</v>
      </c>
      <c r="G119" s="81"/>
      <c r="H119" s="2" t="str">
        <f t="shared" si="8"/>
        <v>Govt Railways - Loco</v>
      </c>
      <c r="I119" s="80" t="s">
        <v>386</v>
      </c>
      <c r="J119" s="80" t="s">
        <v>107</v>
      </c>
      <c r="K119" s="2" t="str">
        <f t="shared" ca="1" si="9"/>
        <v>Complete New Product</v>
      </c>
      <c r="L119" s="2" t="str">
        <f t="shared" ca="1" si="10"/>
        <v>Vinod Ghatge</v>
      </c>
      <c r="M119" s="2" t="str">
        <f t="shared" ca="1" si="11"/>
        <v>Bronze</v>
      </c>
      <c r="N119" s="28" t="s">
        <v>490</v>
      </c>
      <c r="O119" s="82">
        <v>45237</v>
      </c>
      <c r="P119" s="66">
        <v>45291</v>
      </c>
      <c r="Q119" s="50" t="str">
        <f t="shared" ca="1" si="12"/>
        <v>Phase 5 - Production</v>
      </c>
      <c r="R119" s="66"/>
      <c r="S119" s="66"/>
      <c r="T119" s="66"/>
      <c r="U119" s="51" t="str">
        <f t="shared" ca="1" si="14"/>
        <v>In-Process</v>
      </c>
      <c r="V119" s="80" t="s">
        <v>153</v>
      </c>
      <c r="W119" s="35" t="s">
        <v>461</v>
      </c>
      <c r="X119" s="10"/>
    </row>
    <row r="120" spans="1:24" ht="30">
      <c r="A120" s="74">
        <v>119</v>
      </c>
      <c r="B120" s="75" t="s">
        <v>405</v>
      </c>
      <c r="C120" s="28" t="str">
        <f t="shared" si="13"/>
        <v>Product Development</v>
      </c>
      <c r="D120" s="61" t="s">
        <v>8</v>
      </c>
      <c r="E120" s="76" t="s">
        <v>406</v>
      </c>
      <c r="F120" s="76" t="s">
        <v>342</v>
      </c>
      <c r="G120" s="76"/>
      <c r="H120" s="2" t="str">
        <f t="shared" si="8"/>
        <v>Govt Railways - Loco</v>
      </c>
      <c r="I120" s="75" t="s">
        <v>386</v>
      </c>
      <c r="J120" s="75" t="s">
        <v>107</v>
      </c>
      <c r="K120" s="2" t="str">
        <f t="shared" ca="1" si="9"/>
        <v>Major Change</v>
      </c>
      <c r="L120" s="2" t="str">
        <f t="shared" ca="1" si="10"/>
        <v>Krishna Rashtrakut</v>
      </c>
      <c r="M120" s="2" t="str">
        <f t="shared" ca="1" si="11"/>
        <v>Silver</v>
      </c>
      <c r="N120" s="60" t="s">
        <v>490</v>
      </c>
      <c r="O120" s="77">
        <v>45237</v>
      </c>
      <c r="P120" s="78" t="s">
        <v>167</v>
      </c>
      <c r="Q120" s="50" t="str">
        <f t="shared" ca="1" si="12"/>
        <v>Phase 4 - Validation</v>
      </c>
      <c r="R120" s="78"/>
      <c r="S120" s="78"/>
      <c r="T120" s="78"/>
      <c r="U120" s="51" t="str">
        <f t="shared" ca="1" si="14"/>
        <v>Killed</v>
      </c>
      <c r="V120" s="75" t="s">
        <v>153</v>
      </c>
      <c r="W120" s="61" t="s">
        <v>462</v>
      </c>
      <c r="X120" s="10"/>
    </row>
    <row r="121" spans="1:24" customFormat="1" ht="30">
      <c r="A121" s="27">
        <v>120</v>
      </c>
      <c r="B121" s="72" t="s">
        <v>413</v>
      </c>
      <c r="C121" s="28" t="str">
        <f t="shared" si="13"/>
        <v/>
      </c>
      <c r="D121" s="80" t="s">
        <v>416</v>
      </c>
      <c r="E121" s="80" t="s">
        <v>417</v>
      </c>
      <c r="F121" s="67" t="s">
        <v>370</v>
      </c>
      <c r="G121" s="67"/>
      <c r="H121" s="2" t="str">
        <f t="shared" si="8"/>
        <v/>
      </c>
      <c r="I121" s="67" t="s">
        <v>419</v>
      </c>
      <c r="J121" s="80" t="s">
        <v>107</v>
      </c>
      <c r="K121" s="2" t="str">
        <f t="shared" ca="1" si="9"/>
        <v>Major Change</v>
      </c>
      <c r="L121" s="2" t="str">
        <f t="shared" ca="1" si="10"/>
        <v>Nitin Patil</v>
      </c>
      <c r="M121" s="2" t="str">
        <f t="shared" ca="1" si="11"/>
        <v>Platinum</v>
      </c>
      <c r="N121" s="67" t="s">
        <v>359</v>
      </c>
      <c r="O121" s="49">
        <v>45200</v>
      </c>
      <c r="P121" s="49">
        <v>45260</v>
      </c>
      <c r="Q121" s="50" t="str">
        <f t="shared" ca="1" si="12"/>
        <v>Phase 5 - Production</v>
      </c>
      <c r="R121" s="49"/>
      <c r="S121" s="49"/>
      <c r="T121" s="49"/>
      <c r="U121" s="51" t="str">
        <f t="shared" ca="1" si="14"/>
        <v>On-Hold</v>
      </c>
      <c r="V121" s="72" t="s">
        <v>153</v>
      </c>
      <c r="W121" s="67" t="s">
        <v>415</v>
      </c>
    </row>
    <row r="122" spans="1:24" customFormat="1" ht="45">
      <c r="A122" s="84">
        <v>121</v>
      </c>
      <c r="B122" s="72" t="s">
        <v>421</v>
      </c>
      <c r="C122" s="28" t="str">
        <f t="shared" si="13"/>
        <v/>
      </c>
      <c r="D122" s="80" t="s">
        <v>416</v>
      </c>
      <c r="E122" s="80" t="s">
        <v>422</v>
      </c>
      <c r="F122" s="67" t="s">
        <v>370</v>
      </c>
      <c r="G122" s="67"/>
      <c r="H122" s="2" t="str">
        <f t="shared" si="8"/>
        <v/>
      </c>
      <c r="I122" s="80"/>
      <c r="J122" s="80" t="s">
        <v>423</v>
      </c>
      <c r="K122" s="2" t="str">
        <f t="shared" ca="1" si="9"/>
        <v>Minor Change</v>
      </c>
      <c r="L122" s="2" t="str">
        <f t="shared" ca="1" si="10"/>
        <v>Nitin Patil</v>
      </c>
      <c r="M122" s="2" t="str">
        <f t="shared" ca="1" si="11"/>
        <v>Platinum</v>
      </c>
      <c r="N122" s="67" t="s">
        <v>359</v>
      </c>
      <c r="O122" s="49">
        <v>45139</v>
      </c>
      <c r="P122" s="49">
        <v>45291</v>
      </c>
      <c r="Q122" s="50" t="str">
        <f t="shared" ca="1" si="12"/>
        <v>Phase 3 - Detail design</v>
      </c>
      <c r="R122" s="49"/>
      <c r="S122" s="49"/>
      <c r="T122" s="49"/>
      <c r="U122" s="51" t="str">
        <f t="shared" ca="1" si="14"/>
        <v>In-Process</v>
      </c>
      <c r="V122" s="72" t="s">
        <v>154</v>
      </c>
      <c r="W122" s="67" t="s">
        <v>553</v>
      </c>
    </row>
    <row r="123" spans="1:24" customFormat="1" ht="30">
      <c r="A123" s="3">
        <v>122</v>
      </c>
      <c r="B123" s="5" t="s">
        <v>424</v>
      </c>
      <c r="C123" s="28" t="str">
        <f t="shared" si="13"/>
        <v>Test Stand Development</v>
      </c>
      <c r="D123" s="33" t="s">
        <v>365</v>
      </c>
      <c r="E123" s="33" t="s">
        <v>425</v>
      </c>
      <c r="F123" s="25" t="s">
        <v>370</v>
      </c>
      <c r="G123" s="25"/>
      <c r="H123" s="2" t="str">
        <f t="shared" si="8"/>
        <v>Semi-Conductor</v>
      </c>
      <c r="I123" s="1" t="s">
        <v>426</v>
      </c>
      <c r="J123" s="33" t="s">
        <v>107</v>
      </c>
      <c r="K123" s="2" t="str">
        <f t="shared" ca="1" si="9"/>
        <v>Minor Change</v>
      </c>
      <c r="L123" s="2" t="str">
        <f t="shared" ca="1" si="10"/>
        <v>Praveen Patil</v>
      </c>
      <c r="M123" s="2" t="str">
        <f t="shared" ca="1" si="11"/>
        <v>Silver</v>
      </c>
      <c r="N123" s="25" t="s">
        <v>359</v>
      </c>
      <c r="O123" s="32" t="s">
        <v>427</v>
      </c>
      <c r="P123" s="19">
        <v>45565</v>
      </c>
      <c r="Q123" s="50" t="str">
        <f t="shared" ca="1" si="12"/>
        <v>Phase 3 - Detail design</v>
      </c>
      <c r="R123" s="19"/>
      <c r="S123" s="19"/>
      <c r="T123" s="19"/>
      <c r="U123" s="51" t="str">
        <f t="shared" ca="1" si="14"/>
        <v>Killed</v>
      </c>
      <c r="V123" s="5" t="s">
        <v>153</v>
      </c>
      <c r="W123" s="12" t="s">
        <v>420</v>
      </c>
    </row>
    <row r="124" spans="1:24" customFormat="1">
      <c r="A124" s="24">
        <v>123</v>
      </c>
      <c r="B124" s="5" t="s">
        <v>451</v>
      </c>
      <c r="C124" s="28" t="str">
        <f t="shared" si="13"/>
        <v>Product Development</v>
      </c>
      <c r="D124" s="33" t="s">
        <v>363</v>
      </c>
      <c r="E124" s="33" t="s">
        <v>438</v>
      </c>
      <c r="F124" s="33" t="s">
        <v>523</v>
      </c>
      <c r="G124" s="33"/>
      <c r="H124" s="2" t="str">
        <f t="shared" si="8"/>
        <v>Govt Railways - Loco</v>
      </c>
      <c r="I124" s="1" t="s">
        <v>300</v>
      </c>
      <c r="J124" s="33" t="s">
        <v>107</v>
      </c>
      <c r="K124" s="2" t="str">
        <f t="shared" ca="1" si="9"/>
        <v>Minor Change</v>
      </c>
      <c r="L124" s="2" t="str">
        <f t="shared" ca="1" si="10"/>
        <v>Nitin Patil</v>
      </c>
      <c r="M124" s="2" t="str">
        <f t="shared" ca="1" si="11"/>
        <v>Gold</v>
      </c>
      <c r="N124" s="33" t="s">
        <v>279</v>
      </c>
      <c r="O124" s="19">
        <v>45200</v>
      </c>
      <c r="P124" s="19">
        <v>45382</v>
      </c>
      <c r="Q124" s="50" t="str">
        <f t="shared" ca="1" si="12"/>
        <v>Phase 0</v>
      </c>
      <c r="R124" s="19"/>
      <c r="S124" s="19"/>
      <c r="T124" s="19"/>
      <c r="U124" s="51" t="str">
        <f t="shared" ca="1" si="14"/>
        <v>On-Hold</v>
      </c>
      <c r="V124" s="5" t="s">
        <v>153</v>
      </c>
      <c r="W124" s="12" t="s">
        <v>156</v>
      </c>
    </row>
    <row r="125" spans="1:24" customFormat="1" ht="30">
      <c r="A125" s="3">
        <v>124</v>
      </c>
      <c r="B125" s="5" t="s">
        <v>452</v>
      </c>
      <c r="C125" s="28" t="str">
        <f t="shared" si="13"/>
        <v>Product Development</v>
      </c>
      <c r="D125" s="33" t="s">
        <v>363</v>
      </c>
      <c r="E125" s="33" t="s">
        <v>439</v>
      </c>
      <c r="F125" s="33" t="s">
        <v>440</v>
      </c>
      <c r="G125" s="33"/>
      <c r="H125" s="2" t="str">
        <f t="shared" si="8"/>
        <v>Govt Railways - Loco</v>
      </c>
      <c r="I125" s="33" t="s">
        <v>441</v>
      </c>
      <c r="J125" s="33" t="s">
        <v>107</v>
      </c>
      <c r="K125" s="2" t="str">
        <f t="shared" ca="1" si="9"/>
        <v>Complete New Product</v>
      </c>
      <c r="L125" s="2" t="str">
        <f t="shared" ca="1" si="10"/>
        <v>Nitin Patil</v>
      </c>
      <c r="M125" s="2" t="str">
        <f t="shared" ca="1" si="11"/>
        <v>Silver</v>
      </c>
      <c r="N125" s="33" t="s">
        <v>279</v>
      </c>
      <c r="O125" s="19">
        <v>45200</v>
      </c>
      <c r="P125" s="19">
        <v>45382</v>
      </c>
      <c r="Q125" s="50" t="str">
        <f t="shared" ca="1" si="12"/>
        <v>Phase 3 - Detail design</v>
      </c>
      <c r="R125" s="19"/>
      <c r="S125" s="19"/>
      <c r="T125" s="19"/>
      <c r="U125" s="51" t="str">
        <f t="shared" ca="1" si="14"/>
        <v>On-Hold</v>
      </c>
      <c r="V125" s="5" t="s">
        <v>153</v>
      </c>
      <c r="W125" s="12" t="s">
        <v>524</v>
      </c>
    </row>
    <row r="126" spans="1:24" customFormat="1">
      <c r="A126" s="24">
        <v>125</v>
      </c>
      <c r="B126" s="5" t="s">
        <v>453</v>
      </c>
      <c r="C126" s="28" t="str">
        <f t="shared" si="13"/>
        <v>Product Development</v>
      </c>
      <c r="D126" s="33" t="s">
        <v>363</v>
      </c>
      <c r="E126" s="33" t="s">
        <v>442</v>
      </c>
      <c r="F126" s="33" t="s">
        <v>443</v>
      </c>
      <c r="G126" s="33"/>
      <c r="H126" s="2" t="str">
        <f t="shared" si="8"/>
        <v>Govt Railways - Loco</v>
      </c>
      <c r="I126" s="33" t="s">
        <v>441</v>
      </c>
      <c r="J126" s="33" t="s">
        <v>107</v>
      </c>
      <c r="K126" s="2" t="str">
        <f t="shared" ca="1" si="9"/>
        <v>Major Change</v>
      </c>
      <c r="L126" s="2" t="str">
        <f t="shared" ca="1" si="10"/>
        <v>Krishna Rashtrakut</v>
      </c>
      <c r="M126" s="2" t="str">
        <f t="shared" ca="1" si="11"/>
        <v>Bronze</v>
      </c>
      <c r="N126" s="33" t="s">
        <v>279</v>
      </c>
      <c r="O126" s="19">
        <v>45200</v>
      </c>
      <c r="P126" s="19">
        <v>45382</v>
      </c>
      <c r="Q126" s="50" t="str">
        <f t="shared" ca="1" si="12"/>
        <v>Phase 2 - Concept development</v>
      </c>
      <c r="R126" s="19"/>
      <c r="S126" s="19"/>
      <c r="T126" s="19"/>
      <c r="U126" s="51" t="str">
        <f t="shared" ca="1" si="14"/>
        <v>Killed</v>
      </c>
      <c r="V126" s="5" t="s">
        <v>153</v>
      </c>
      <c r="W126" s="12" t="s">
        <v>525</v>
      </c>
    </row>
    <row r="127" spans="1:24" customFormat="1">
      <c r="A127" s="3">
        <v>126</v>
      </c>
      <c r="B127" s="5" t="s">
        <v>454</v>
      </c>
      <c r="C127" s="28" t="str">
        <f t="shared" si="13"/>
        <v>Product Development</v>
      </c>
      <c r="D127" s="33" t="s">
        <v>363</v>
      </c>
      <c r="E127" s="33" t="s">
        <v>444</v>
      </c>
      <c r="F127" s="33" t="s">
        <v>445</v>
      </c>
      <c r="G127" s="33"/>
      <c r="H127" s="2" t="str">
        <f t="shared" si="8"/>
        <v>Govt Railways - Loco</v>
      </c>
      <c r="I127" s="33" t="s">
        <v>108</v>
      </c>
      <c r="J127" s="33" t="s">
        <v>107</v>
      </c>
      <c r="K127" s="2" t="str">
        <f t="shared" ca="1" si="9"/>
        <v>Minor Change</v>
      </c>
      <c r="L127" s="2" t="str">
        <f t="shared" ca="1" si="10"/>
        <v>Vinod Ghatge</v>
      </c>
      <c r="M127" s="2" t="str">
        <f t="shared" ca="1" si="11"/>
        <v>Gold</v>
      </c>
      <c r="N127" s="33" t="s">
        <v>279</v>
      </c>
      <c r="O127" s="19">
        <v>45261</v>
      </c>
      <c r="P127" s="19">
        <v>45382</v>
      </c>
      <c r="Q127" s="50" t="str">
        <f t="shared" ca="1" si="12"/>
        <v>Phase 2 - Concept development</v>
      </c>
      <c r="R127" s="19"/>
      <c r="S127" s="19"/>
      <c r="T127" s="19"/>
      <c r="U127" s="51" t="str">
        <f t="shared" ca="1" si="14"/>
        <v>Killed</v>
      </c>
      <c r="V127" s="5" t="s">
        <v>153</v>
      </c>
      <c r="W127" s="12" t="s">
        <v>475</v>
      </c>
    </row>
    <row r="128" spans="1:24" customFormat="1">
      <c r="A128" s="3">
        <v>127</v>
      </c>
      <c r="B128" s="5" t="s">
        <v>472</v>
      </c>
      <c r="C128" s="28" t="str">
        <f t="shared" si="13"/>
        <v>Process Development</v>
      </c>
      <c r="D128" s="33" t="s">
        <v>49</v>
      </c>
      <c r="E128" s="33" t="s">
        <v>473</v>
      </c>
      <c r="F128" s="33" t="s">
        <v>554</v>
      </c>
      <c r="G128" s="33"/>
      <c r="H128" s="2" t="str">
        <f t="shared" si="8"/>
        <v>Aerospace</v>
      </c>
      <c r="I128" s="33"/>
      <c r="J128" s="33" t="s">
        <v>107</v>
      </c>
      <c r="K128" s="2" t="str">
        <f t="shared" ca="1" si="9"/>
        <v>Major Change</v>
      </c>
      <c r="L128" s="2" t="str">
        <f t="shared" ca="1" si="10"/>
        <v>Vinod Ghatge</v>
      </c>
      <c r="M128" s="2" t="str">
        <f t="shared" ca="1" si="11"/>
        <v>Bronze</v>
      </c>
      <c r="N128" s="33" t="s">
        <v>474</v>
      </c>
      <c r="O128" s="19">
        <v>45285</v>
      </c>
      <c r="P128" s="19">
        <v>45382</v>
      </c>
      <c r="Q128" s="50" t="str">
        <f t="shared" ca="1" si="12"/>
        <v>Phase 4 - Validation</v>
      </c>
      <c r="R128" s="19"/>
      <c r="S128" s="19"/>
      <c r="T128" s="19"/>
      <c r="U128" s="51" t="str">
        <f t="shared" ca="1" si="14"/>
        <v>Killed</v>
      </c>
      <c r="V128" s="5" t="s">
        <v>153</v>
      </c>
      <c r="W128" s="12" t="s">
        <v>555</v>
      </c>
    </row>
    <row r="129" spans="1:23" customFormat="1">
      <c r="A129" s="3">
        <v>128</v>
      </c>
      <c r="B129" s="5" t="s">
        <v>479</v>
      </c>
      <c r="C129" s="28" t="str">
        <f t="shared" si="13"/>
        <v>Process Development</v>
      </c>
      <c r="D129" s="33" t="s">
        <v>49</v>
      </c>
      <c r="E129" s="33" t="s">
        <v>476</v>
      </c>
      <c r="F129" s="33" t="s">
        <v>477</v>
      </c>
      <c r="G129" s="33"/>
      <c r="H129" s="2" t="str">
        <f t="shared" si="8"/>
        <v>Aerospace</v>
      </c>
      <c r="I129" s="33"/>
      <c r="J129" s="33" t="s">
        <v>107</v>
      </c>
      <c r="K129" s="2" t="str">
        <f t="shared" ca="1" si="9"/>
        <v>Major Change</v>
      </c>
      <c r="L129" s="2" t="str">
        <f t="shared" ca="1" si="10"/>
        <v>Vinod Ghatge</v>
      </c>
      <c r="M129" s="2" t="str">
        <f t="shared" ca="1" si="11"/>
        <v>Diamond</v>
      </c>
      <c r="N129" s="33" t="s">
        <v>478</v>
      </c>
      <c r="O129" s="19">
        <v>45285</v>
      </c>
      <c r="P129" s="19">
        <v>45565</v>
      </c>
      <c r="Q129" s="50" t="str">
        <f t="shared" ca="1" si="12"/>
        <v>Phase 3 - Detail design</v>
      </c>
      <c r="R129" s="19"/>
      <c r="S129" s="19"/>
      <c r="T129" s="19"/>
      <c r="U129" s="51" t="str">
        <f t="shared" ca="1" si="14"/>
        <v>Killed</v>
      </c>
      <c r="V129" s="5" t="s">
        <v>153</v>
      </c>
      <c r="W129" s="12" t="s">
        <v>556</v>
      </c>
    </row>
    <row r="130" spans="1:23" ht="45">
      <c r="A130" s="24">
        <v>129</v>
      </c>
      <c r="B130" s="7" t="s">
        <v>486</v>
      </c>
      <c r="C130" s="28" t="str">
        <f t="shared" si="13"/>
        <v>Product Development</v>
      </c>
      <c r="D130" s="33" t="s">
        <v>8</v>
      </c>
      <c r="E130" s="91" t="s">
        <v>487</v>
      </c>
      <c r="F130" s="25" t="s">
        <v>370</v>
      </c>
      <c r="G130" s="25"/>
      <c r="H130" s="2" t="str">
        <f t="shared" si="8"/>
        <v>Govt Railways - Loco</v>
      </c>
      <c r="I130" s="33"/>
      <c r="J130" s="7" t="s">
        <v>488</v>
      </c>
      <c r="K130" s="2" t="str">
        <f t="shared" ca="1" si="9"/>
        <v>Complete New Product</v>
      </c>
      <c r="L130" s="2" t="str">
        <f t="shared" ca="1" si="10"/>
        <v>Krishna Rashtrakut</v>
      </c>
      <c r="M130" s="2" t="str">
        <f t="shared" ca="1" si="11"/>
        <v>Gold</v>
      </c>
      <c r="N130" s="33" t="s">
        <v>491</v>
      </c>
      <c r="O130" s="17">
        <v>45232</v>
      </c>
      <c r="P130" s="17">
        <v>45565</v>
      </c>
      <c r="Q130" s="50" t="str">
        <f t="shared" ca="1" si="12"/>
        <v>Phase 1 - Definition</v>
      </c>
      <c r="R130" s="17"/>
      <c r="S130" s="17"/>
      <c r="T130" s="17"/>
      <c r="U130" s="51" t="str">
        <f t="shared" ca="1" si="14"/>
        <v>On-Hold</v>
      </c>
      <c r="V130" s="6" t="s">
        <v>154</v>
      </c>
      <c r="W130" s="73" t="s">
        <v>489</v>
      </c>
    </row>
    <row r="131" spans="1:23" ht="30">
      <c r="A131" s="3">
        <v>130</v>
      </c>
      <c r="B131" s="6" t="s">
        <v>482</v>
      </c>
      <c r="C131" s="28" t="str">
        <f t="shared" si="13"/>
        <v>Product Development</v>
      </c>
      <c r="D131" s="73" t="s">
        <v>8</v>
      </c>
      <c r="E131" s="73" t="s">
        <v>130</v>
      </c>
      <c r="F131" s="73" t="s">
        <v>484</v>
      </c>
      <c r="G131" s="73"/>
      <c r="H131" s="2" t="str">
        <f t="shared" ref="H131:H160" si="15">IF(C131="Product Development","Govt Railways - Loco",IF(C131="Product Certification","Oil &amp; Gas",IF(C131="Process Development","Aerospace",IF(C131="Test Stand Development","Semi-Conductor",""))))</f>
        <v>Govt Railways - Loco</v>
      </c>
      <c r="I131" s="6"/>
      <c r="J131" s="6" t="s">
        <v>107</v>
      </c>
      <c r="K131" s="2" t="str">
        <f t="shared" ref="K131:K160" ca="1" si="16">CHOOSE(RANDBETWEEN(1,3),"Minor Change","Major Change","Complete New Product")</f>
        <v>Complete New Product</v>
      </c>
      <c r="L131" s="2" t="str">
        <f t="shared" ref="L131:L160" ca="1" si="17">CHOOSE(RANDBETWEEN(1,4),"Krishna Rashtrakut","Nitin Patil","Praveen Patil","Vinod Ghatge")</f>
        <v>Vinod Ghatge</v>
      </c>
      <c r="M131" s="2" t="str">
        <f t="shared" ref="M131:M160" ca="1" si="18">CHOOSE(RANDBETWEEN(1,5),"Bronze","Silver","Gold","Platinum","Diamond")</f>
        <v>Platinum</v>
      </c>
      <c r="N131" s="73" t="s">
        <v>483</v>
      </c>
      <c r="O131" s="16">
        <v>45395</v>
      </c>
      <c r="P131" s="17">
        <v>45565</v>
      </c>
      <c r="Q131" s="50" t="str">
        <f t="shared" ref="Q131:Q160" ca="1" si="19">CHOOSE(RANDBETWEEN(1,6),"Phase 0","Phase 1 - Definition","Phase 2 - Concept development","Phase 3 - Detail design","Phase 4 - Validation","Phase 5 - Production")</f>
        <v>Phase 4 - Validation</v>
      </c>
      <c r="R131" s="17"/>
      <c r="S131" s="17"/>
      <c r="T131" s="17"/>
      <c r="U131" s="51" t="str">
        <f t="shared" ca="1" si="14"/>
        <v>In-Process</v>
      </c>
      <c r="V131" s="6" t="s">
        <v>154</v>
      </c>
      <c r="W131" s="73" t="s">
        <v>485</v>
      </c>
    </row>
    <row r="132" spans="1:23" ht="30">
      <c r="A132" s="3">
        <v>131</v>
      </c>
      <c r="B132" s="7" t="s">
        <v>493</v>
      </c>
      <c r="C132" s="28" t="str">
        <f t="shared" ref="C132:C160" si="20">IF(OR(D132="valve",D132="special project"),"Product Development",IF(OR(D132="services",D132="aerospace"),"Process Development",IF(OR(D132="testing",D132="fittings"),"Test Stand Development",IF(D132="certification","Product Certification",""))))</f>
        <v>Product Development</v>
      </c>
      <c r="D132" s="7" t="s">
        <v>8</v>
      </c>
      <c r="E132" s="91" t="s">
        <v>496</v>
      </c>
      <c r="F132" s="25" t="s">
        <v>370</v>
      </c>
      <c r="G132" s="25"/>
      <c r="H132" s="2" t="str">
        <f t="shared" si="15"/>
        <v>Govt Railways - Loco</v>
      </c>
      <c r="I132" s="7"/>
      <c r="J132" s="7" t="s">
        <v>495</v>
      </c>
      <c r="K132" s="2" t="str">
        <f t="shared" ca="1" si="16"/>
        <v>Major Change</v>
      </c>
      <c r="L132" s="2" t="str">
        <f t="shared" ca="1" si="17"/>
        <v>Praveen Patil</v>
      </c>
      <c r="M132" s="2" t="str">
        <f t="shared" ca="1" si="18"/>
        <v>Diamond</v>
      </c>
      <c r="N132" s="7" t="s">
        <v>226</v>
      </c>
      <c r="O132" s="17">
        <v>45387</v>
      </c>
      <c r="P132" s="17">
        <v>45565</v>
      </c>
      <c r="Q132" s="50" t="str">
        <f t="shared" ca="1" si="19"/>
        <v>Phase 0</v>
      </c>
      <c r="R132" s="17"/>
      <c r="S132" s="17"/>
      <c r="T132" s="17"/>
      <c r="U132" s="51" t="str">
        <f t="shared" ref="U132:U160" ca="1" si="21">IF(Q131="","Killed",IF(LEFT(P131,7)="Phase 5","Completed",CHOOSE(RANDBETWEEN(1,3),"In-Process","On-Hold","Killed")))</f>
        <v>In-Process</v>
      </c>
      <c r="V132" s="6" t="s">
        <v>154</v>
      </c>
      <c r="W132" s="91" t="s">
        <v>494</v>
      </c>
    </row>
    <row r="133" spans="1:23" customFormat="1" ht="30">
      <c r="A133" s="3">
        <v>132</v>
      </c>
      <c r="B133" s="1" t="s">
        <v>500</v>
      </c>
      <c r="C133" s="28" t="str">
        <f t="shared" si="20"/>
        <v>Test Stand Development</v>
      </c>
      <c r="D133" s="33" t="s">
        <v>1</v>
      </c>
      <c r="E133" s="1" t="s">
        <v>501</v>
      </c>
      <c r="F133" s="25" t="s">
        <v>370</v>
      </c>
      <c r="G133" s="25"/>
      <c r="H133" s="2" t="str">
        <f t="shared" si="15"/>
        <v>Semi-Conductor</v>
      </c>
      <c r="I133" s="33"/>
      <c r="J133" s="1" t="s">
        <v>502</v>
      </c>
      <c r="K133" s="2" t="str">
        <f t="shared" ca="1" si="16"/>
        <v>Major Change</v>
      </c>
      <c r="L133" s="2" t="str">
        <f t="shared" ca="1" si="17"/>
        <v>Krishna Rashtrakut</v>
      </c>
      <c r="M133" s="2" t="str">
        <f t="shared" ca="1" si="18"/>
        <v>Platinum</v>
      </c>
      <c r="N133" s="33" t="s">
        <v>510</v>
      </c>
      <c r="O133" s="19">
        <v>45051</v>
      </c>
      <c r="P133" s="19">
        <v>45565</v>
      </c>
      <c r="Q133" s="50" t="str">
        <f t="shared" ca="1" si="19"/>
        <v>Phase 4 - Validation</v>
      </c>
      <c r="R133" s="19"/>
      <c r="S133" s="19"/>
      <c r="T133" s="19"/>
      <c r="U133" s="51" t="str">
        <f t="shared" ca="1" si="21"/>
        <v>In-Process</v>
      </c>
      <c r="V133" s="6" t="s">
        <v>503</v>
      </c>
      <c r="W133" s="12" t="s">
        <v>504</v>
      </c>
    </row>
    <row r="134" spans="1:23" customFormat="1" ht="30">
      <c r="A134" s="24">
        <v>133</v>
      </c>
      <c r="B134" s="1" t="s">
        <v>505</v>
      </c>
      <c r="C134" s="28" t="str">
        <f t="shared" si="20"/>
        <v>Test Stand Development</v>
      </c>
      <c r="D134" s="33" t="s">
        <v>506</v>
      </c>
      <c r="E134" s="1" t="s">
        <v>507</v>
      </c>
      <c r="F134" s="25" t="s">
        <v>508</v>
      </c>
      <c r="G134" s="25"/>
      <c r="H134" s="2" t="str">
        <f t="shared" si="15"/>
        <v>Semi-Conductor</v>
      </c>
      <c r="I134" s="33"/>
      <c r="J134" s="1" t="s">
        <v>509</v>
      </c>
      <c r="K134" s="2" t="str">
        <f t="shared" ca="1" si="16"/>
        <v>Minor Change</v>
      </c>
      <c r="L134" s="2" t="str">
        <f t="shared" ca="1" si="17"/>
        <v>Nitin Patil</v>
      </c>
      <c r="M134" s="2" t="str">
        <f t="shared" ca="1" si="18"/>
        <v>Gold</v>
      </c>
      <c r="N134" s="33" t="s">
        <v>510</v>
      </c>
      <c r="O134" s="19">
        <v>45232</v>
      </c>
      <c r="P134" s="19">
        <v>45565</v>
      </c>
      <c r="Q134" s="50" t="str">
        <f t="shared" ca="1" si="19"/>
        <v>Phase 5 - Production</v>
      </c>
      <c r="R134" s="19"/>
      <c r="S134" s="19"/>
      <c r="T134" s="19"/>
      <c r="U134" s="51" t="str">
        <f t="shared" ca="1" si="21"/>
        <v>On-Hold</v>
      </c>
      <c r="V134" s="5" t="s">
        <v>153</v>
      </c>
      <c r="W134" s="12" t="s">
        <v>511</v>
      </c>
    </row>
    <row r="135" spans="1:23" customFormat="1">
      <c r="A135" s="3">
        <v>134</v>
      </c>
      <c r="B135" s="5" t="s">
        <v>515</v>
      </c>
      <c r="C135" s="28" t="str">
        <f t="shared" si="20"/>
        <v>Product Development</v>
      </c>
      <c r="D135" s="33" t="s">
        <v>363</v>
      </c>
      <c r="E135" s="33" t="s">
        <v>512</v>
      </c>
      <c r="F135" s="33" t="s">
        <v>369</v>
      </c>
      <c r="G135" s="33"/>
      <c r="H135" s="2" t="str">
        <f t="shared" si="15"/>
        <v>Govt Railways - Loco</v>
      </c>
      <c r="I135" s="33" t="s">
        <v>513</v>
      </c>
      <c r="J135" s="33" t="s">
        <v>107</v>
      </c>
      <c r="K135" s="2" t="str">
        <f t="shared" ca="1" si="16"/>
        <v>Major Change</v>
      </c>
      <c r="L135" s="2" t="str">
        <f t="shared" ca="1" si="17"/>
        <v>Nitin Patil</v>
      </c>
      <c r="M135" s="2" t="str">
        <f t="shared" ca="1" si="18"/>
        <v>Silver</v>
      </c>
      <c r="N135" s="33" t="s">
        <v>514</v>
      </c>
      <c r="O135" s="19">
        <v>45366</v>
      </c>
      <c r="P135" s="19" t="s">
        <v>167</v>
      </c>
      <c r="Q135" s="50" t="str">
        <f t="shared" ca="1" si="19"/>
        <v>Phase 5 - Production</v>
      </c>
      <c r="R135" s="19"/>
      <c r="S135" s="19"/>
      <c r="T135" s="19"/>
      <c r="U135" s="51" t="str">
        <f t="shared" ca="1" si="21"/>
        <v>On-Hold</v>
      </c>
      <c r="V135" s="5" t="s">
        <v>153</v>
      </c>
      <c r="W135" s="12" t="s">
        <v>539</v>
      </c>
    </row>
    <row r="136" spans="1:23" customFormat="1" ht="20.45" customHeight="1">
      <c r="A136" s="56">
        <v>135</v>
      </c>
      <c r="B136" s="58" t="s">
        <v>542</v>
      </c>
      <c r="C136" s="28" t="str">
        <f t="shared" si="20"/>
        <v>Product Development</v>
      </c>
      <c r="D136" s="75" t="s">
        <v>363</v>
      </c>
      <c r="E136" s="75" t="s">
        <v>516</v>
      </c>
      <c r="F136" s="75" t="s">
        <v>369</v>
      </c>
      <c r="G136" s="75"/>
      <c r="H136" s="2" t="str">
        <f t="shared" si="15"/>
        <v>Govt Railways - Loco</v>
      </c>
      <c r="I136" s="75" t="s">
        <v>108</v>
      </c>
      <c r="J136" s="75" t="s">
        <v>517</v>
      </c>
      <c r="K136" s="2" t="str">
        <f t="shared" ca="1" si="16"/>
        <v>Complete New Product</v>
      </c>
      <c r="L136" s="2" t="str">
        <f t="shared" ca="1" si="17"/>
        <v>Praveen Patil</v>
      </c>
      <c r="M136" s="2" t="str">
        <f t="shared" ca="1" si="18"/>
        <v>Bronze</v>
      </c>
      <c r="N136" s="75" t="s">
        <v>514</v>
      </c>
      <c r="O136" s="92">
        <v>45318</v>
      </c>
      <c r="P136" s="92">
        <v>45565</v>
      </c>
      <c r="Q136" s="50" t="str">
        <f t="shared" ca="1" si="19"/>
        <v>Phase 1 - Definition</v>
      </c>
      <c r="R136" s="92"/>
      <c r="S136" s="92"/>
      <c r="T136" s="92"/>
      <c r="U136" s="51" t="str">
        <f t="shared" ca="1" si="21"/>
        <v>In-Process</v>
      </c>
      <c r="V136" s="58" t="s">
        <v>153</v>
      </c>
      <c r="W136" s="93" t="s">
        <v>551</v>
      </c>
    </row>
    <row r="137" spans="1:23" customFormat="1">
      <c r="A137" s="56">
        <v>136</v>
      </c>
      <c r="B137" s="58" t="s">
        <v>543</v>
      </c>
      <c r="C137" s="28" t="str">
        <f t="shared" si="20"/>
        <v>Product Development</v>
      </c>
      <c r="D137" s="75" t="s">
        <v>363</v>
      </c>
      <c r="E137" s="75" t="s">
        <v>518</v>
      </c>
      <c r="F137" s="75" t="s">
        <v>369</v>
      </c>
      <c r="G137" s="75"/>
      <c r="H137" s="2" t="str">
        <f t="shared" si="15"/>
        <v>Govt Railways - Loco</v>
      </c>
      <c r="I137" s="75" t="s">
        <v>108</v>
      </c>
      <c r="J137" s="75" t="s">
        <v>519</v>
      </c>
      <c r="K137" s="2" t="str">
        <f t="shared" ca="1" si="16"/>
        <v>Complete New Product</v>
      </c>
      <c r="L137" s="2" t="str">
        <f t="shared" ca="1" si="17"/>
        <v>Nitin Patil</v>
      </c>
      <c r="M137" s="2" t="str">
        <f t="shared" ca="1" si="18"/>
        <v>Gold</v>
      </c>
      <c r="N137" s="75" t="s">
        <v>514</v>
      </c>
      <c r="O137" s="92">
        <v>45352</v>
      </c>
      <c r="P137" s="92">
        <v>45565</v>
      </c>
      <c r="Q137" s="50" t="str">
        <f t="shared" ca="1" si="19"/>
        <v>Phase 3 - Detail design</v>
      </c>
      <c r="R137" s="92"/>
      <c r="S137" s="92"/>
      <c r="T137" s="92"/>
      <c r="U137" s="51" t="str">
        <f t="shared" ca="1" si="21"/>
        <v>Killed</v>
      </c>
      <c r="V137" s="58" t="s">
        <v>153</v>
      </c>
      <c r="W137" s="93" t="s">
        <v>551</v>
      </c>
    </row>
    <row r="138" spans="1:23" customFormat="1">
      <c r="A138" s="84">
        <v>137</v>
      </c>
      <c r="B138" s="72" t="s">
        <v>544</v>
      </c>
      <c r="C138" s="28" t="str">
        <f t="shared" si="20"/>
        <v>Product Development</v>
      </c>
      <c r="D138" s="80" t="s">
        <v>363</v>
      </c>
      <c r="E138" s="80" t="s">
        <v>540</v>
      </c>
      <c r="F138" s="80" t="s">
        <v>369</v>
      </c>
      <c r="G138" s="80"/>
      <c r="H138" s="2" t="str">
        <f t="shared" si="15"/>
        <v>Govt Railways - Loco</v>
      </c>
      <c r="I138" s="80"/>
      <c r="J138" s="80" t="s">
        <v>541</v>
      </c>
      <c r="K138" s="2" t="str">
        <f t="shared" ca="1" si="16"/>
        <v>Minor Change</v>
      </c>
      <c r="L138" s="2" t="str">
        <f t="shared" ca="1" si="17"/>
        <v>Vinod Ghatge</v>
      </c>
      <c r="M138" s="2" t="str">
        <f t="shared" ca="1" si="18"/>
        <v>Silver</v>
      </c>
      <c r="N138" s="80" t="s">
        <v>550</v>
      </c>
      <c r="O138" s="49">
        <v>45331</v>
      </c>
      <c r="P138" s="49">
        <v>45565</v>
      </c>
      <c r="Q138" s="50" t="str">
        <f t="shared" ca="1" si="19"/>
        <v>Phase 0</v>
      </c>
      <c r="R138" s="49"/>
      <c r="S138" s="49"/>
      <c r="T138" s="49"/>
      <c r="U138" s="51" t="str">
        <f t="shared" ca="1" si="21"/>
        <v>In-Process</v>
      </c>
      <c r="V138" s="72" t="s">
        <v>153</v>
      </c>
      <c r="W138" s="90" t="s">
        <v>229</v>
      </c>
    </row>
    <row r="139" spans="1:23" customFormat="1">
      <c r="A139" s="27">
        <v>138</v>
      </c>
      <c r="B139" s="72" t="s">
        <v>597</v>
      </c>
      <c r="C139" s="28" t="str">
        <f t="shared" si="20"/>
        <v>Product Development</v>
      </c>
      <c r="D139" s="80" t="s">
        <v>363</v>
      </c>
      <c r="E139" s="80" t="s">
        <v>594</v>
      </c>
      <c r="F139" s="80" t="s">
        <v>612</v>
      </c>
      <c r="G139" s="80"/>
      <c r="H139" s="2" t="str">
        <f t="shared" si="15"/>
        <v>Govt Railways - Loco</v>
      </c>
      <c r="I139" s="80"/>
      <c r="J139" s="80" t="s">
        <v>595</v>
      </c>
      <c r="K139" s="2" t="str">
        <f t="shared" ca="1" si="16"/>
        <v>Complete New Product</v>
      </c>
      <c r="L139" s="2" t="str">
        <f t="shared" ca="1" si="17"/>
        <v>Vinod Ghatge</v>
      </c>
      <c r="M139" s="2" t="str">
        <f t="shared" ca="1" si="18"/>
        <v>Diamond</v>
      </c>
      <c r="N139" s="80" t="s">
        <v>514</v>
      </c>
      <c r="O139" s="49">
        <v>45460</v>
      </c>
      <c r="P139" s="49">
        <v>45792</v>
      </c>
      <c r="Q139" s="50" t="str">
        <f t="shared" ca="1" si="19"/>
        <v>Phase 2 - Concept development</v>
      </c>
      <c r="R139" s="49"/>
      <c r="S139" s="49"/>
      <c r="T139" s="49"/>
      <c r="U139" s="51" t="str">
        <f t="shared" ca="1" si="21"/>
        <v>In-Process</v>
      </c>
      <c r="V139" s="72" t="s">
        <v>153</v>
      </c>
      <c r="W139" s="90" t="s">
        <v>229</v>
      </c>
    </row>
    <row r="140" spans="1:23" customFormat="1">
      <c r="A140" s="27">
        <v>139</v>
      </c>
      <c r="B140" s="72" t="s">
        <v>598</v>
      </c>
      <c r="C140" s="28" t="str">
        <f t="shared" si="20"/>
        <v>Product Development</v>
      </c>
      <c r="D140" s="80" t="s">
        <v>363</v>
      </c>
      <c r="E140" s="80" t="s">
        <v>596</v>
      </c>
      <c r="F140" s="80" t="s">
        <v>369</v>
      </c>
      <c r="G140" s="80"/>
      <c r="H140" s="2" t="str">
        <f t="shared" si="15"/>
        <v>Govt Railways - Loco</v>
      </c>
      <c r="I140" s="80"/>
      <c r="J140" s="72" t="s">
        <v>604</v>
      </c>
      <c r="K140" s="2" t="str">
        <f t="shared" ca="1" si="16"/>
        <v>Minor Change</v>
      </c>
      <c r="L140" s="2" t="str">
        <f t="shared" ca="1" si="17"/>
        <v>Praveen Patil</v>
      </c>
      <c r="M140" s="2" t="str">
        <f t="shared" ca="1" si="18"/>
        <v>Gold</v>
      </c>
      <c r="N140" s="80" t="s">
        <v>599</v>
      </c>
      <c r="O140" s="49">
        <v>45541</v>
      </c>
      <c r="P140" s="49" t="s">
        <v>600</v>
      </c>
      <c r="Q140" s="50" t="str">
        <f t="shared" ca="1" si="19"/>
        <v>Phase 3 - Detail design</v>
      </c>
      <c r="R140" s="49"/>
      <c r="S140" s="49"/>
      <c r="T140" s="49"/>
      <c r="U140" s="51" t="str">
        <f t="shared" ca="1" si="21"/>
        <v>Killed</v>
      </c>
      <c r="V140" s="72" t="s">
        <v>153</v>
      </c>
      <c r="W140" s="90" t="s">
        <v>229</v>
      </c>
    </row>
    <row r="141" spans="1:23" customFormat="1">
      <c r="A141" s="3">
        <v>140</v>
      </c>
      <c r="B141" s="5" t="s">
        <v>601</v>
      </c>
      <c r="C141" s="28" t="str">
        <f t="shared" si="20"/>
        <v>Product Development</v>
      </c>
      <c r="D141" s="33" t="s">
        <v>363</v>
      </c>
      <c r="E141" s="33" t="s">
        <v>602</v>
      </c>
      <c r="F141" s="33" t="s">
        <v>613</v>
      </c>
      <c r="G141" s="33"/>
      <c r="H141" s="2" t="str">
        <f t="shared" si="15"/>
        <v>Govt Railways - Loco</v>
      </c>
      <c r="I141" s="33"/>
      <c r="J141" s="33" t="s">
        <v>603</v>
      </c>
      <c r="K141" s="2" t="str">
        <f t="shared" ca="1" si="16"/>
        <v>Major Change</v>
      </c>
      <c r="L141" s="2" t="str">
        <f t="shared" ca="1" si="17"/>
        <v>Krishna Rashtrakut</v>
      </c>
      <c r="M141" s="2" t="str">
        <f t="shared" ca="1" si="18"/>
        <v>Diamond</v>
      </c>
      <c r="N141" s="33" t="s">
        <v>514</v>
      </c>
      <c r="O141" s="19">
        <v>45729</v>
      </c>
      <c r="P141" s="19" t="s">
        <v>167</v>
      </c>
      <c r="Q141" s="50" t="str">
        <f t="shared" ca="1" si="19"/>
        <v>Phase 0</v>
      </c>
      <c r="R141" s="19"/>
      <c r="S141" s="19"/>
      <c r="T141" s="19"/>
      <c r="U141" s="51" t="str">
        <f t="shared" ca="1" si="21"/>
        <v>On-Hold</v>
      </c>
      <c r="V141" s="5" t="s">
        <v>153</v>
      </c>
      <c r="W141" s="12" t="s">
        <v>551</v>
      </c>
    </row>
    <row r="142" spans="1:23" customFormat="1">
      <c r="A142" s="24">
        <v>141</v>
      </c>
      <c r="B142" s="5" t="s">
        <v>608</v>
      </c>
      <c r="C142" s="28" t="str">
        <f t="shared" si="20"/>
        <v>Product Development</v>
      </c>
      <c r="D142" s="33" t="s">
        <v>363</v>
      </c>
      <c r="E142" s="33" t="s">
        <v>605</v>
      </c>
      <c r="F142" s="33" t="s">
        <v>369</v>
      </c>
      <c r="G142" s="33"/>
      <c r="H142" s="2" t="str">
        <f t="shared" si="15"/>
        <v>Govt Railways - Loco</v>
      </c>
      <c r="I142" s="33"/>
      <c r="J142" s="33" t="s">
        <v>167</v>
      </c>
      <c r="K142" s="2" t="str">
        <f t="shared" ca="1" si="16"/>
        <v>Minor Change</v>
      </c>
      <c r="L142" s="2" t="str">
        <f t="shared" ca="1" si="17"/>
        <v>Krishna Rashtrakut</v>
      </c>
      <c r="M142" s="2" t="str">
        <f t="shared" ca="1" si="18"/>
        <v>Diamond</v>
      </c>
      <c r="N142" s="33" t="s">
        <v>514</v>
      </c>
      <c r="O142" s="19">
        <v>45726</v>
      </c>
      <c r="P142" s="19" t="s">
        <v>167</v>
      </c>
      <c r="Q142" s="50" t="str">
        <f t="shared" ca="1" si="19"/>
        <v>Phase 4 - Validation</v>
      </c>
      <c r="R142" s="19"/>
      <c r="S142" s="19"/>
      <c r="T142" s="19"/>
      <c r="U142" s="51" t="str">
        <f t="shared" ca="1" si="21"/>
        <v>On-Hold</v>
      </c>
      <c r="V142" s="5" t="s">
        <v>154</v>
      </c>
      <c r="W142" s="12" t="s">
        <v>551</v>
      </c>
    </row>
    <row r="143" spans="1:23" customFormat="1">
      <c r="A143" s="3">
        <v>142</v>
      </c>
      <c r="B143" s="5" t="s">
        <v>609</v>
      </c>
      <c r="C143" s="28" t="str">
        <f t="shared" si="20"/>
        <v>Product Development</v>
      </c>
      <c r="D143" s="33" t="s">
        <v>363</v>
      </c>
      <c r="E143" s="33" t="s">
        <v>606</v>
      </c>
      <c r="F143" s="33" t="s">
        <v>612</v>
      </c>
      <c r="G143" s="33"/>
      <c r="H143" s="2" t="str">
        <f t="shared" si="15"/>
        <v>Govt Railways - Loco</v>
      </c>
      <c r="I143" s="33"/>
      <c r="J143" s="33" t="s">
        <v>607</v>
      </c>
      <c r="K143" s="2" t="str">
        <f t="shared" ca="1" si="16"/>
        <v>Complete New Product</v>
      </c>
      <c r="L143" s="2" t="str">
        <f t="shared" ca="1" si="17"/>
        <v>Krishna Rashtrakut</v>
      </c>
      <c r="M143" s="2" t="str">
        <f t="shared" ca="1" si="18"/>
        <v>Diamond</v>
      </c>
      <c r="N143" s="33" t="s">
        <v>514</v>
      </c>
      <c r="O143" s="19">
        <v>45601</v>
      </c>
      <c r="P143" s="19" t="s">
        <v>167</v>
      </c>
      <c r="Q143" s="50" t="str">
        <f t="shared" ca="1" si="19"/>
        <v>Phase 0</v>
      </c>
      <c r="R143" s="19"/>
      <c r="S143" s="19"/>
      <c r="T143" s="19"/>
      <c r="U143" s="51" t="str">
        <f t="shared" ca="1" si="21"/>
        <v>On-Hold</v>
      </c>
      <c r="V143" s="5" t="s">
        <v>153</v>
      </c>
      <c r="W143" s="12" t="s">
        <v>551</v>
      </c>
    </row>
    <row r="144" spans="1:23" customFormat="1">
      <c r="A144" s="3">
        <v>143</v>
      </c>
      <c r="B144" s="5" t="s">
        <v>610</v>
      </c>
      <c r="C144" s="28" t="str">
        <f t="shared" si="20"/>
        <v>Product Development</v>
      </c>
      <c r="D144" s="33" t="s">
        <v>363</v>
      </c>
      <c r="E144" s="33" t="s">
        <v>614</v>
      </c>
      <c r="F144" s="33" t="s">
        <v>369</v>
      </c>
      <c r="G144" s="33"/>
      <c r="H144" s="2" t="str">
        <f t="shared" si="15"/>
        <v>Govt Railways - Loco</v>
      </c>
      <c r="I144" s="33"/>
      <c r="J144" s="33" t="s">
        <v>611</v>
      </c>
      <c r="K144" s="2" t="str">
        <f t="shared" ca="1" si="16"/>
        <v>Complete New Product</v>
      </c>
      <c r="L144" s="2" t="str">
        <f t="shared" ca="1" si="17"/>
        <v>Vinod Ghatge</v>
      </c>
      <c r="M144" s="2" t="str">
        <f t="shared" ca="1" si="18"/>
        <v>Diamond</v>
      </c>
      <c r="N144" s="33" t="s">
        <v>514</v>
      </c>
      <c r="O144" s="19">
        <v>45747</v>
      </c>
      <c r="P144" s="19">
        <v>45724</v>
      </c>
      <c r="Q144" s="50" t="str">
        <f t="shared" ca="1" si="19"/>
        <v>Phase 5 - Production</v>
      </c>
      <c r="R144" s="19"/>
      <c r="S144" s="19"/>
      <c r="T144" s="19"/>
      <c r="U144" s="51" t="str">
        <f t="shared" ca="1" si="21"/>
        <v>Killed</v>
      </c>
      <c r="V144" s="5" t="s">
        <v>154</v>
      </c>
      <c r="W144" s="12" t="s">
        <v>551</v>
      </c>
    </row>
    <row r="145" spans="1:23" customFormat="1">
      <c r="A145" s="3">
        <v>138</v>
      </c>
      <c r="B145" s="5" t="s">
        <v>527</v>
      </c>
      <c r="C145" s="28" t="str">
        <f t="shared" si="20"/>
        <v/>
      </c>
      <c r="D145" s="33" t="s">
        <v>116</v>
      </c>
      <c r="E145" s="33" t="s">
        <v>526</v>
      </c>
      <c r="F145" s="33" t="s">
        <v>369</v>
      </c>
      <c r="G145" s="33"/>
      <c r="H145" s="2" t="str">
        <f t="shared" si="15"/>
        <v/>
      </c>
      <c r="I145" s="33"/>
      <c r="J145" s="33"/>
      <c r="K145" s="2" t="str">
        <f t="shared" ca="1" si="16"/>
        <v>Major Change</v>
      </c>
      <c r="L145" s="2" t="str">
        <f t="shared" ca="1" si="17"/>
        <v>Krishna Rashtrakut</v>
      </c>
      <c r="M145" s="2" t="str">
        <f t="shared" ca="1" si="18"/>
        <v>Silver</v>
      </c>
      <c r="N145" s="33" t="s">
        <v>288</v>
      </c>
      <c r="O145" s="19">
        <v>45397</v>
      </c>
      <c r="P145" s="19">
        <v>45565</v>
      </c>
      <c r="Q145" s="50" t="str">
        <f t="shared" ca="1" si="19"/>
        <v>Phase 3 - Detail design</v>
      </c>
      <c r="R145" s="19"/>
      <c r="S145" s="19"/>
      <c r="T145" s="19"/>
      <c r="U145" s="51" t="str">
        <f t="shared" ca="1" si="21"/>
        <v>On-Hold</v>
      </c>
      <c r="V145" s="5" t="s">
        <v>154</v>
      </c>
      <c r="W145" s="12" t="s">
        <v>533</v>
      </c>
    </row>
    <row r="146" spans="1:23" customFormat="1">
      <c r="A146" s="3">
        <v>139</v>
      </c>
      <c r="B146" s="5" t="s">
        <v>530</v>
      </c>
      <c r="C146" s="28" t="str">
        <f t="shared" si="20"/>
        <v/>
      </c>
      <c r="D146" s="33" t="s">
        <v>531</v>
      </c>
      <c r="E146" s="33" t="s">
        <v>528</v>
      </c>
      <c r="F146" s="33" t="s">
        <v>369</v>
      </c>
      <c r="G146" s="33"/>
      <c r="H146" s="2" t="str">
        <f t="shared" si="15"/>
        <v/>
      </c>
      <c r="I146" s="33"/>
      <c r="J146" s="33" t="s">
        <v>529</v>
      </c>
      <c r="K146" s="2" t="str">
        <f t="shared" ca="1" si="16"/>
        <v>Minor Change</v>
      </c>
      <c r="L146" s="2" t="str">
        <f t="shared" ca="1" si="17"/>
        <v>Vinod Ghatge</v>
      </c>
      <c r="M146" s="2" t="str">
        <f t="shared" ca="1" si="18"/>
        <v>Gold</v>
      </c>
      <c r="N146" s="33" t="s">
        <v>288</v>
      </c>
      <c r="O146" s="19">
        <v>45392</v>
      </c>
      <c r="P146" s="19">
        <v>45565</v>
      </c>
      <c r="Q146" s="50" t="str">
        <f t="shared" ca="1" si="19"/>
        <v>Phase 5 - Production</v>
      </c>
      <c r="R146" s="19"/>
      <c r="S146" s="19"/>
      <c r="T146" s="19"/>
      <c r="U146" s="51" t="str">
        <f t="shared" ca="1" si="21"/>
        <v>In-Process</v>
      </c>
      <c r="V146" s="5" t="s">
        <v>154</v>
      </c>
      <c r="W146" s="12" t="s">
        <v>532</v>
      </c>
    </row>
    <row r="147" spans="1:23" customFormat="1">
      <c r="A147" s="3">
        <v>140</v>
      </c>
      <c r="B147" s="5" t="s">
        <v>535</v>
      </c>
      <c r="C147" s="28" t="str">
        <f t="shared" si="20"/>
        <v>Product Development</v>
      </c>
      <c r="D147" s="33" t="s">
        <v>363</v>
      </c>
      <c r="E147" s="33" t="s">
        <v>534</v>
      </c>
      <c r="F147" s="33" t="s">
        <v>369</v>
      </c>
      <c r="G147" s="33"/>
      <c r="H147" s="2" t="str">
        <f t="shared" si="15"/>
        <v>Govt Railways - Loco</v>
      </c>
      <c r="I147" s="33" t="s">
        <v>536</v>
      </c>
      <c r="J147" s="33" t="s">
        <v>107</v>
      </c>
      <c r="K147" s="2" t="str">
        <f t="shared" ca="1" si="16"/>
        <v>Minor Change</v>
      </c>
      <c r="L147" s="2" t="str">
        <f t="shared" ca="1" si="17"/>
        <v>Nitin Patil</v>
      </c>
      <c r="M147" s="2" t="str">
        <f t="shared" ca="1" si="18"/>
        <v>Platinum</v>
      </c>
      <c r="N147" s="33" t="s">
        <v>288</v>
      </c>
      <c r="O147" s="19">
        <v>45397</v>
      </c>
      <c r="P147" s="19">
        <v>45565</v>
      </c>
      <c r="Q147" s="50" t="str">
        <f t="shared" ca="1" si="19"/>
        <v>Phase 5 - Production</v>
      </c>
      <c r="R147" s="19"/>
      <c r="S147" s="19"/>
      <c r="T147" s="19"/>
      <c r="U147" s="51" t="str">
        <f t="shared" ca="1" si="21"/>
        <v>On-Hold</v>
      </c>
      <c r="V147" s="5" t="s">
        <v>153</v>
      </c>
      <c r="W147" s="12" t="s">
        <v>537</v>
      </c>
    </row>
    <row r="148" spans="1:23" customFormat="1" ht="30">
      <c r="A148" s="74">
        <v>141</v>
      </c>
      <c r="B148" s="58" t="s">
        <v>549</v>
      </c>
      <c r="C148" s="28" t="str">
        <f t="shared" si="20"/>
        <v>Product Development</v>
      </c>
      <c r="D148" s="75" t="s">
        <v>363</v>
      </c>
      <c r="E148" s="75" t="s">
        <v>545</v>
      </c>
      <c r="F148" s="75" t="s">
        <v>546</v>
      </c>
      <c r="G148" s="75"/>
      <c r="H148" s="2" t="str">
        <f t="shared" si="15"/>
        <v>Govt Railways - Loco</v>
      </c>
      <c r="I148" s="75"/>
      <c r="J148" s="75" t="s">
        <v>547</v>
      </c>
      <c r="K148" s="2" t="str">
        <f t="shared" ca="1" si="16"/>
        <v>Minor Change</v>
      </c>
      <c r="L148" s="2" t="str">
        <f t="shared" ca="1" si="17"/>
        <v>Nitin Patil</v>
      </c>
      <c r="M148" s="2" t="str">
        <f t="shared" ca="1" si="18"/>
        <v>Platinum</v>
      </c>
      <c r="N148" s="75" t="s">
        <v>548</v>
      </c>
      <c r="O148" s="92">
        <v>45383</v>
      </c>
      <c r="P148" s="92">
        <v>45565</v>
      </c>
      <c r="Q148" s="50" t="str">
        <f t="shared" ca="1" si="19"/>
        <v>Phase 3 - Detail design</v>
      </c>
      <c r="R148" s="92"/>
      <c r="S148" s="92"/>
      <c r="T148" s="92"/>
      <c r="U148" s="51" t="str">
        <f t="shared" ca="1" si="21"/>
        <v>In-Process</v>
      </c>
      <c r="V148" s="58" t="s">
        <v>154</v>
      </c>
      <c r="W148" s="93" t="s">
        <v>552</v>
      </c>
    </row>
    <row r="149" spans="1:23" customFormat="1" ht="30">
      <c r="A149" s="27">
        <v>142</v>
      </c>
      <c r="B149" s="72" t="s">
        <v>557</v>
      </c>
      <c r="C149" s="28" t="str">
        <f t="shared" si="20"/>
        <v>Test Stand Development</v>
      </c>
      <c r="D149" s="80" t="s">
        <v>365</v>
      </c>
      <c r="E149" s="80" t="s">
        <v>558</v>
      </c>
      <c r="F149" s="67" t="s">
        <v>370</v>
      </c>
      <c r="G149" s="67"/>
      <c r="H149" s="2" t="str">
        <f t="shared" si="15"/>
        <v>Semi-Conductor</v>
      </c>
      <c r="I149" s="67" t="s">
        <v>419</v>
      </c>
      <c r="J149" s="80" t="s">
        <v>107</v>
      </c>
      <c r="K149" s="2" t="str">
        <f t="shared" ca="1" si="16"/>
        <v>Complete New Product</v>
      </c>
      <c r="L149" s="2" t="str">
        <f t="shared" ca="1" si="17"/>
        <v>Nitin Patil</v>
      </c>
      <c r="M149" s="2" t="str">
        <f t="shared" ca="1" si="18"/>
        <v>Platinum</v>
      </c>
      <c r="N149" s="80" t="s">
        <v>478</v>
      </c>
      <c r="O149" s="49">
        <v>45292</v>
      </c>
      <c r="P149" s="49">
        <v>45422</v>
      </c>
      <c r="Q149" s="50" t="str">
        <f t="shared" ca="1" si="19"/>
        <v>Phase 0</v>
      </c>
      <c r="R149" s="49"/>
      <c r="S149" s="49"/>
      <c r="T149" s="49"/>
      <c r="U149" s="51" t="str">
        <f t="shared" ca="1" si="21"/>
        <v>Killed</v>
      </c>
      <c r="V149" s="72" t="s">
        <v>153</v>
      </c>
      <c r="W149" s="90" t="s">
        <v>229</v>
      </c>
    </row>
    <row r="150" spans="1:23" customFormat="1" ht="30">
      <c r="A150" s="27">
        <v>143</v>
      </c>
      <c r="B150" s="72" t="s">
        <v>561</v>
      </c>
      <c r="C150" s="28" t="str">
        <f t="shared" si="20"/>
        <v>Test Stand Development</v>
      </c>
      <c r="D150" s="80" t="s">
        <v>365</v>
      </c>
      <c r="E150" s="80" t="s">
        <v>559</v>
      </c>
      <c r="F150" s="67" t="s">
        <v>370</v>
      </c>
      <c r="G150" s="67"/>
      <c r="H150" s="2" t="str">
        <f t="shared" si="15"/>
        <v>Semi-Conductor</v>
      </c>
      <c r="I150" s="89" t="s">
        <v>560</v>
      </c>
      <c r="J150" s="80" t="s">
        <v>107</v>
      </c>
      <c r="K150" s="2" t="str">
        <f t="shared" ca="1" si="16"/>
        <v>Major Change</v>
      </c>
      <c r="L150" s="2" t="str">
        <f t="shared" ca="1" si="17"/>
        <v>Praveen Patil</v>
      </c>
      <c r="M150" s="2" t="str">
        <f t="shared" ca="1" si="18"/>
        <v>Diamond</v>
      </c>
      <c r="N150" s="80" t="s">
        <v>478</v>
      </c>
      <c r="O150" s="49">
        <v>45376</v>
      </c>
      <c r="P150" s="49">
        <v>45422</v>
      </c>
      <c r="Q150" s="50" t="str">
        <f t="shared" ca="1" si="19"/>
        <v>Phase 2 - Concept development</v>
      </c>
      <c r="R150" s="49"/>
      <c r="S150" s="49"/>
      <c r="T150" s="49"/>
      <c r="U150" s="51" t="str">
        <f t="shared" ca="1" si="21"/>
        <v>Killed</v>
      </c>
      <c r="V150" s="72" t="s">
        <v>153</v>
      </c>
      <c r="W150" s="90" t="s">
        <v>229</v>
      </c>
    </row>
    <row r="151" spans="1:23" customFormat="1">
      <c r="A151" s="3">
        <v>144</v>
      </c>
      <c r="B151" s="5" t="s">
        <v>562</v>
      </c>
      <c r="C151" s="28" t="str">
        <f t="shared" si="20"/>
        <v>Test Stand Development</v>
      </c>
      <c r="D151" s="33" t="s">
        <v>365</v>
      </c>
      <c r="E151" s="33" t="s">
        <v>563</v>
      </c>
      <c r="F151" s="1" t="s">
        <v>564</v>
      </c>
      <c r="G151" s="1"/>
      <c r="H151" s="2" t="str">
        <f t="shared" si="15"/>
        <v>Semi-Conductor</v>
      </c>
      <c r="I151" s="1" t="s">
        <v>565</v>
      </c>
      <c r="J151" s="33" t="s">
        <v>107</v>
      </c>
      <c r="K151" s="2" t="str">
        <f t="shared" ca="1" si="16"/>
        <v>Major Change</v>
      </c>
      <c r="L151" s="2" t="str">
        <f t="shared" ca="1" si="17"/>
        <v>Praveen Patil</v>
      </c>
      <c r="M151" s="2" t="str">
        <f t="shared" ca="1" si="18"/>
        <v>Diamond</v>
      </c>
      <c r="N151" s="87" t="s">
        <v>478</v>
      </c>
      <c r="O151" s="19">
        <v>45392</v>
      </c>
      <c r="P151" s="19">
        <v>45534</v>
      </c>
      <c r="Q151" s="50" t="str">
        <f t="shared" ca="1" si="19"/>
        <v>Phase 5 - Production</v>
      </c>
      <c r="R151" s="19"/>
      <c r="S151" s="19"/>
      <c r="T151" s="19"/>
      <c r="U151" s="51" t="str">
        <f t="shared" ca="1" si="21"/>
        <v>Killed</v>
      </c>
      <c r="V151" s="5" t="s">
        <v>153</v>
      </c>
      <c r="W151" s="12" t="s">
        <v>349</v>
      </c>
    </row>
    <row r="152" spans="1:23" customFormat="1">
      <c r="A152" s="84">
        <v>145</v>
      </c>
      <c r="B152" s="72" t="s">
        <v>566</v>
      </c>
      <c r="C152" s="28" t="str">
        <f t="shared" si="20"/>
        <v>Process Development</v>
      </c>
      <c r="D152" s="80" t="s">
        <v>49</v>
      </c>
      <c r="E152" s="80" t="s">
        <v>567</v>
      </c>
      <c r="F152" s="89" t="s">
        <v>568</v>
      </c>
      <c r="G152" s="89"/>
      <c r="H152" s="2" t="str">
        <f t="shared" si="15"/>
        <v>Aerospace</v>
      </c>
      <c r="I152" s="89"/>
      <c r="J152" s="80" t="s">
        <v>107</v>
      </c>
      <c r="K152" s="2" t="str">
        <f t="shared" ca="1" si="16"/>
        <v>Complete New Product</v>
      </c>
      <c r="L152" s="2" t="str">
        <f t="shared" ca="1" si="17"/>
        <v>Praveen Patil</v>
      </c>
      <c r="M152" s="2" t="str">
        <f t="shared" ca="1" si="18"/>
        <v>Bronze</v>
      </c>
      <c r="N152" s="80" t="s">
        <v>478</v>
      </c>
      <c r="O152" s="49">
        <v>45383</v>
      </c>
      <c r="P152" s="49">
        <v>45437</v>
      </c>
      <c r="Q152" s="50" t="str">
        <f t="shared" ca="1" si="19"/>
        <v>Phase 4 - Validation</v>
      </c>
      <c r="R152" s="49"/>
      <c r="S152" s="49"/>
      <c r="T152" s="49"/>
      <c r="U152" s="51" t="str">
        <f t="shared" ca="1" si="21"/>
        <v>In-Process</v>
      </c>
      <c r="V152" s="72" t="s">
        <v>153</v>
      </c>
      <c r="W152" s="90" t="s">
        <v>229</v>
      </c>
    </row>
    <row r="153" spans="1:23" customFormat="1">
      <c r="A153" s="3">
        <v>146</v>
      </c>
      <c r="B153" s="5" t="s">
        <v>569</v>
      </c>
      <c r="C153" s="28" t="str">
        <f t="shared" si="20"/>
        <v>Product Certification</v>
      </c>
      <c r="D153" s="33" t="s">
        <v>94</v>
      </c>
      <c r="E153" s="33" t="s">
        <v>570</v>
      </c>
      <c r="F153" s="1" t="s">
        <v>571</v>
      </c>
      <c r="G153" s="1"/>
      <c r="H153" s="2" t="str">
        <f t="shared" si="15"/>
        <v>Oil &amp; Gas</v>
      </c>
      <c r="I153" s="1" t="s">
        <v>572</v>
      </c>
      <c r="J153" s="33" t="s">
        <v>107</v>
      </c>
      <c r="K153" s="2" t="str">
        <f t="shared" ca="1" si="16"/>
        <v>Complete New Product</v>
      </c>
      <c r="L153" s="2" t="str">
        <f t="shared" ca="1" si="17"/>
        <v>Nitin Patil</v>
      </c>
      <c r="M153" s="2" t="str">
        <f t="shared" ca="1" si="18"/>
        <v>Silver</v>
      </c>
      <c r="N153" s="87" t="s">
        <v>478</v>
      </c>
      <c r="O153" s="19">
        <v>45383</v>
      </c>
      <c r="P153" s="32"/>
      <c r="Q153" s="50" t="str">
        <f t="shared" ca="1" si="19"/>
        <v>Phase 5 - Production</v>
      </c>
      <c r="R153" s="32"/>
      <c r="S153" s="32"/>
      <c r="T153" s="32"/>
      <c r="U153" s="51" t="str">
        <f t="shared" ca="1" si="21"/>
        <v>On-Hold</v>
      </c>
      <c r="V153" s="5" t="s">
        <v>153</v>
      </c>
      <c r="W153" s="12" t="s">
        <v>573</v>
      </c>
    </row>
    <row r="154" spans="1:23" customFormat="1">
      <c r="A154" s="3">
        <v>147</v>
      </c>
      <c r="B154" s="5" t="s">
        <v>574</v>
      </c>
      <c r="C154" s="28" t="str">
        <f t="shared" si="20"/>
        <v>Test Stand Development</v>
      </c>
      <c r="D154" s="33" t="s">
        <v>1</v>
      </c>
      <c r="E154" s="33" t="s">
        <v>575</v>
      </c>
      <c r="F154" s="1" t="s">
        <v>576</v>
      </c>
      <c r="G154" s="1"/>
      <c r="H154" s="2" t="str">
        <f t="shared" si="15"/>
        <v>Semi-Conductor</v>
      </c>
      <c r="I154" s="1"/>
      <c r="J154" s="33" t="s">
        <v>577</v>
      </c>
      <c r="K154" s="2" t="str">
        <f t="shared" ca="1" si="16"/>
        <v>Minor Change</v>
      </c>
      <c r="L154" s="2" t="str">
        <f t="shared" ca="1" si="17"/>
        <v>Praveen Patil</v>
      </c>
      <c r="M154" s="2" t="str">
        <f t="shared" ca="1" si="18"/>
        <v>Bronze</v>
      </c>
      <c r="N154" s="87" t="s">
        <v>578</v>
      </c>
      <c r="O154" s="19">
        <v>45383</v>
      </c>
      <c r="P154" s="19">
        <v>45427</v>
      </c>
      <c r="Q154" s="50" t="str">
        <f t="shared" ca="1" si="19"/>
        <v>Phase 2 - Concept development</v>
      </c>
      <c r="R154" s="19"/>
      <c r="S154" s="19"/>
      <c r="T154" s="19"/>
      <c r="U154" s="51" t="str">
        <f t="shared" ca="1" si="21"/>
        <v>In-Process</v>
      </c>
      <c r="V154" s="5" t="s">
        <v>153</v>
      </c>
      <c r="W154" s="12" t="s">
        <v>579</v>
      </c>
    </row>
    <row r="155" spans="1:23" customFormat="1">
      <c r="A155" s="27">
        <v>148</v>
      </c>
      <c r="B155" s="72" t="s">
        <v>620</v>
      </c>
      <c r="C155" s="28" t="str">
        <f t="shared" si="20"/>
        <v>Test Stand Development</v>
      </c>
      <c r="D155" s="80" t="s">
        <v>506</v>
      </c>
      <c r="E155" s="80" t="s">
        <v>622</v>
      </c>
      <c r="F155" s="89" t="s">
        <v>508</v>
      </c>
      <c r="G155" s="89"/>
      <c r="H155" s="2" t="str">
        <f t="shared" si="15"/>
        <v>Semi-Conductor</v>
      </c>
      <c r="I155" s="89"/>
      <c r="J155" s="80" t="s">
        <v>625</v>
      </c>
      <c r="K155" s="2" t="str">
        <f t="shared" ca="1" si="16"/>
        <v>Major Change</v>
      </c>
      <c r="L155" s="2" t="str">
        <f t="shared" ca="1" si="17"/>
        <v>Praveen Patil</v>
      </c>
      <c r="M155" s="2" t="str">
        <f t="shared" ca="1" si="18"/>
        <v>Platinum</v>
      </c>
      <c r="N155" s="80" t="s">
        <v>510</v>
      </c>
      <c r="O155" s="49">
        <v>45601</v>
      </c>
      <c r="P155" s="49">
        <v>45609</v>
      </c>
      <c r="Q155" s="50" t="str">
        <f t="shared" ca="1" si="19"/>
        <v>Phase 5 - Production</v>
      </c>
      <c r="R155" s="49"/>
      <c r="S155" s="49"/>
      <c r="T155" s="49"/>
      <c r="U155" s="51" t="str">
        <f t="shared" ca="1" si="21"/>
        <v>In-Process</v>
      </c>
      <c r="V155" s="72" t="s">
        <v>153</v>
      </c>
      <c r="W155" s="90" t="s">
        <v>621</v>
      </c>
    </row>
    <row r="156" spans="1:23" customFormat="1">
      <c r="A156" s="27">
        <v>149</v>
      </c>
      <c r="B156" s="72" t="s">
        <v>624</v>
      </c>
      <c r="C156" s="28" t="str">
        <f t="shared" si="20"/>
        <v>Test Stand Development</v>
      </c>
      <c r="D156" s="80" t="s">
        <v>506</v>
      </c>
      <c r="E156" s="80" t="s">
        <v>622</v>
      </c>
      <c r="F156" s="89" t="s">
        <v>508</v>
      </c>
      <c r="G156" s="89"/>
      <c r="H156" s="2" t="str">
        <f t="shared" si="15"/>
        <v>Semi-Conductor</v>
      </c>
      <c r="I156" s="89"/>
      <c r="J156" s="80" t="s">
        <v>623</v>
      </c>
      <c r="K156" s="2" t="str">
        <f t="shared" ca="1" si="16"/>
        <v>Major Change</v>
      </c>
      <c r="L156" s="2" t="str">
        <f t="shared" ca="1" si="17"/>
        <v>Krishna Rashtrakut</v>
      </c>
      <c r="M156" s="2" t="str">
        <f t="shared" ca="1" si="18"/>
        <v>Bronze</v>
      </c>
      <c r="N156" s="80" t="s">
        <v>510</v>
      </c>
      <c r="O156" s="49">
        <v>45644</v>
      </c>
      <c r="P156" s="49">
        <v>45652</v>
      </c>
      <c r="Q156" s="50" t="str">
        <f t="shared" ca="1" si="19"/>
        <v>Phase 3 - Detail design</v>
      </c>
      <c r="R156" s="49"/>
      <c r="S156" s="49"/>
      <c r="T156" s="49"/>
      <c r="U156" s="51" t="str">
        <f t="shared" ca="1" si="21"/>
        <v>In-Process</v>
      </c>
      <c r="V156" s="72" t="s">
        <v>153</v>
      </c>
      <c r="W156" s="90" t="s">
        <v>621</v>
      </c>
    </row>
    <row r="157" spans="1:23" ht="30">
      <c r="A157" s="3">
        <v>150</v>
      </c>
      <c r="B157" s="7" t="s">
        <v>587</v>
      </c>
      <c r="C157" s="28" t="str">
        <f t="shared" si="20"/>
        <v>Process Development</v>
      </c>
      <c r="D157" s="7" t="s">
        <v>108</v>
      </c>
      <c r="E157" s="91" t="s">
        <v>626</v>
      </c>
      <c r="F157" s="91" t="s">
        <v>590</v>
      </c>
      <c r="G157" s="91"/>
      <c r="H157" s="2" t="str">
        <f t="shared" si="15"/>
        <v>Aerospace</v>
      </c>
      <c r="I157" s="7"/>
      <c r="J157" s="7" t="s">
        <v>593</v>
      </c>
      <c r="K157" s="2" t="str">
        <f t="shared" ca="1" si="16"/>
        <v>Major Change</v>
      </c>
      <c r="L157" s="2" t="str">
        <f t="shared" ca="1" si="17"/>
        <v>Praveen Patil</v>
      </c>
      <c r="M157" s="2" t="str">
        <f t="shared" ca="1" si="18"/>
        <v>Platinum</v>
      </c>
      <c r="N157" s="7" t="s">
        <v>627</v>
      </c>
      <c r="O157" s="17">
        <v>45726</v>
      </c>
      <c r="P157" s="17">
        <v>45787</v>
      </c>
      <c r="Q157" s="50" t="str">
        <f t="shared" ca="1" si="19"/>
        <v>Phase 0</v>
      </c>
      <c r="R157" s="17"/>
      <c r="S157" s="17"/>
      <c r="T157" s="17"/>
      <c r="U157" s="51" t="str">
        <f t="shared" ca="1" si="21"/>
        <v>In-Process</v>
      </c>
      <c r="V157" s="5" t="s">
        <v>153</v>
      </c>
      <c r="W157" s="12" t="s">
        <v>533</v>
      </c>
    </row>
    <row r="158" spans="1:23" ht="45">
      <c r="A158" s="3">
        <v>151</v>
      </c>
      <c r="B158" s="7" t="s">
        <v>588</v>
      </c>
      <c r="C158" s="28" t="str">
        <f t="shared" si="20"/>
        <v>Process Development</v>
      </c>
      <c r="D158" s="7" t="s">
        <v>108</v>
      </c>
      <c r="E158" s="91" t="s">
        <v>589</v>
      </c>
      <c r="F158" s="91" t="s">
        <v>591</v>
      </c>
      <c r="G158" s="91"/>
      <c r="H158" s="2" t="str">
        <f t="shared" si="15"/>
        <v>Aerospace</v>
      </c>
      <c r="I158" s="7"/>
      <c r="J158" s="7" t="s">
        <v>592</v>
      </c>
      <c r="K158" s="2" t="str">
        <f t="shared" ca="1" si="16"/>
        <v>Major Change</v>
      </c>
      <c r="L158" s="2" t="str">
        <f t="shared" ca="1" si="17"/>
        <v>Nitin Patil</v>
      </c>
      <c r="M158" s="2" t="str">
        <f t="shared" ca="1" si="18"/>
        <v>Platinum</v>
      </c>
      <c r="N158" s="7" t="s">
        <v>627</v>
      </c>
      <c r="O158" s="17"/>
      <c r="P158" s="3"/>
      <c r="Q158" s="50" t="str">
        <f t="shared" ca="1" si="19"/>
        <v>Phase 0</v>
      </c>
      <c r="R158" s="3"/>
      <c r="S158" s="3"/>
      <c r="T158" s="3"/>
      <c r="U158" s="51" t="str">
        <f t="shared" ca="1" si="21"/>
        <v>On-Hold</v>
      </c>
      <c r="V158" s="7"/>
      <c r="W158" s="91"/>
    </row>
    <row r="159" spans="1:23" ht="30">
      <c r="A159" s="3">
        <v>152</v>
      </c>
      <c r="B159" s="7" t="s">
        <v>615</v>
      </c>
      <c r="C159" s="28" t="str">
        <f t="shared" si="20"/>
        <v>Product Development</v>
      </c>
      <c r="D159" s="7" t="s">
        <v>8</v>
      </c>
      <c r="E159" s="91" t="s">
        <v>616</v>
      </c>
      <c r="F159" s="25" t="s">
        <v>617</v>
      </c>
      <c r="G159" s="25"/>
      <c r="H159" s="2" t="str">
        <f t="shared" si="15"/>
        <v>Govt Railways - Loco</v>
      </c>
      <c r="I159" s="7"/>
      <c r="J159" s="7" t="s">
        <v>107</v>
      </c>
      <c r="K159" s="2" t="str">
        <f t="shared" ca="1" si="16"/>
        <v>Complete New Product</v>
      </c>
      <c r="L159" s="2" t="str">
        <f t="shared" ca="1" si="17"/>
        <v>Vinod Ghatge</v>
      </c>
      <c r="M159" s="2" t="str">
        <f t="shared" ca="1" si="18"/>
        <v>Diamond</v>
      </c>
      <c r="N159" s="7" t="s">
        <v>226</v>
      </c>
      <c r="O159" s="17">
        <v>45752</v>
      </c>
      <c r="P159" s="17">
        <v>45767</v>
      </c>
      <c r="Q159" s="50" t="str">
        <f t="shared" ca="1" si="19"/>
        <v>Phase 5 - Production</v>
      </c>
      <c r="R159" s="17"/>
      <c r="S159" s="17"/>
      <c r="T159" s="17"/>
      <c r="U159" s="51" t="str">
        <f t="shared" ca="1" si="21"/>
        <v>In-Process</v>
      </c>
      <c r="V159" s="6" t="s">
        <v>154</v>
      </c>
      <c r="W159" s="91" t="s">
        <v>349</v>
      </c>
    </row>
    <row r="160" spans="1:23" ht="30">
      <c r="A160" s="3">
        <v>153</v>
      </c>
      <c r="B160" s="7" t="s">
        <v>618</v>
      </c>
      <c r="C160" s="28" t="str">
        <f t="shared" si="20"/>
        <v>Product Development</v>
      </c>
      <c r="D160" s="7" t="s">
        <v>8</v>
      </c>
      <c r="E160" s="91" t="s">
        <v>619</v>
      </c>
      <c r="F160" s="25" t="s">
        <v>617</v>
      </c>
      <c r="G160" s="25"/>
      <c r="H160" s="2" t="str">
        <f t="shared" si="15"/>
        <v>Govt Railways - Loco</v>
      </c>
      <c r="I160" s="7"/>
      <c r="J160" s="7" t="s">
        <v>107</v>
      </c>
      <c r="K160" s="2" t="str">
        <f t="shared" ca="1" si="16"/>
        <v>Complete New Product</v>
      </c>
      <c r="L160" s="2" t="str">
        <f t="shared" ca="1" si="17"/>
        <v>Krishna Rashtrakut</v>
      </c>
      <c r="M160" s="2" t="str">
        <f t="shared" ca="1" si="18"/>
        <v>Bronze</v>
      </c>
      <c r="N160" s="7" t="s">
        <v>226</v>
      </c>
      <c r="O160" s="17">
        <v>45741</v>
      </c>
      <c r="P160" s="17">
        <v>45777</v>
      </c>
      <c r="Q160" s="50" t="str">
        <f t="shared" ca="1" si="19"/>
        <v>Phase 2 - Concept development</v>
      </c>
      <c r="R160" s="17"/>
      <c r="S160" s="17"/>
      <c r="T160" s="17"/>
      <c r="U160" s="51" t="str">
        <f t="shared" ca="1" si="21"/>
        <v>On-Hold</v>
      </c>
      <c r="V160" s="6" t="s">
        <v>154</v>
      </c>
      <c r="W160" s="91" t="s">
        <v>349</v>
      </c>
    </row>
  </sheetData>
  <autoFilter ref="A1:X160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AF42-DDA2-4792-BCE6-979FF4D2430C}">
  <dimension ref="A1:W10"/>
  <sheetViews>
    <sheetView topLeftCell="N1" workbookViewId="0">
      <selection activeCell="L2" sqref="L2"/>
    </sheetView>
  </sheetViews>
  <sheetFormatPr defaultRowHeight="15"/>
  <cols>
    <col min="2" max="2" width="15.85546875" customWidth="1"/>
    <col min="3" max="3" width="21.42578125" bestFit="1" customWidth="1"/>
    <col min="4" max="4" width="21.42578125" customWidth="1"/>
    <col min="5" max="5" width="17.42578125" customWidth="1"/>
    <col min="6" max="6" width="18.42578125" customWidth="1"/>
    <col min="7" max="7" width="16.140625" customWidth="1"/>
    <col min="8" max="8" width="24.7109375" bestFit="1" customWidth="1"/>
    <col min="9" max="9" width="24.7109375" customWidth="1"/>
    <col min="10" max="10" width="14.7109375" customWidth="1"/>
    <col min="11" max="13" width="21.85546875" customWidth="1"/>
    <col min="14" max="15" width="22.85546875" customWidth="1"/>
    <col min="16" max="16" width="16.140625" customWidth="1"/>
    <col min="17" max="17" width="13.42578125" customWidth="1"/>
    <col min="18" max="18" width="27.42578125" bestFit="1" customWidth="1"/>
    <col min="19" max="19" width="14" customWidth="1"/>
    <col min="20" max="20" width="16.42578125" customWidth="1"/>
    <col min="21" max="22" width="12.140625" customWidth="1"/>
    <col min="23" max="23" width="17.85546875" customWidth="1"/>
  </cols>
  <sheetData>
    <row r="1" spans="1:23" ht="60">
      <c r="A1" s="22" t="s">
        <v>628</v>
      </c>
      <c r="B1" s="94" t="s">
        <v>652</v>
      </c>
      <c r="C1" s="94" t="s">
        <v>629</v>
      </c>
      <c r="D1" s="94" t="s">
        <v>638</v>
      </c>
      <c r="E1" s="34" t="s">
        <v>104</v>
      </c>
      <c r="F1" s="94" t="s">
        <v>674</v>
      </c>
      <c r="G1" s="94" t="s">
        <v>647</v>
      </c>
      <c r="H1" s="94" t="s">
        <v>641</v>
      </c>
      <c r="I1" s="94" t="s">
        <v>665</v>
      </c>
      <c r="J1" s="94" t="s">
        <v>637</v>
      </c>
      <c r="K1" s="94" t="s">
        <v>654</v>
      </c>
      <c r="L1" s="94" t="s">
        <v>658</v>
      </c>
      <c r="M1" s="94" t="s">
        <v>664</v>
      </c>
      <c r="N1" s="94" t="s">
        <v>640</v>
      </c>
      <c r="O1" s="94" t="s">
        <v>639</v>
      </c>
      <c r="P1" s="99" t="s">
        <v>669</v>
      </c>
      <c r="Q1" s="99" t="s">
        <v>670</v>
      </c>
      <c r="R1" s="94" t="s">
        <v>666</v>
      </c>
      <c r="S1" s="99" t="s">
        <v>668</v>
      </c>
      <c r="T1" s="99" t="s">
        <v>671</v>
      </c>
      <c r="U1" s="99" t="s">
        <v>672</v>
      </c>
      <c r="V1" s="99" t="s">
        <v>675</v>
      </c>
      <c r="W1" s="99" t="s">
        <v>673</v>
      </c>
    </row>
    <row r="2" spans="1:23">
      <c r="C2" s="95" t="s">
        <v>179</v>
      </c>
      <c r="D2" s="95" t="s">
        <v>632</v>
      </c>
      <c r="G2" s="97" t="s">
        <v>648</v>
      </c>
      <c r="H2" s="98" t="s">
        <v>642</v>
      </c>
      <c r="I2" s="96"/>
      <c r="K2" s="97" t="s">
        <v>655</v>
      </c>
      <c r="L2" s="97" t="s">
        <v>659</v>
      </c>
      <c r="M2" s="100"/>
      <c r="N2" t="s">
        <v>653</v>
      </c>
      <c r="R2" s="95" t="s">
        <v>667</v>
      </c>
      <c r="V2" s="97" t="s">
        <v>221</v>
      </c>
    </row>
    <row r="3" spans="1:23">
      <c r="C3" s="95" t="s">
        <v>179</v>
      </c>
      <c r="D3" s="95" t="s">
        <v>633</v>
      </c>
      <c r="G3" s="97" t="s">
        <v>648</v>
      </c>
      <c r="H3" s="98" t="s">
        <v>643</v>
      </c>
      <c r="I3" s="96"/>
      <c r="K3" s="97" t="s">
        <v>656</v>
      </c>
      <c r="L3" s="97" t="s">
        <v>660</v>
      </c>
      <c r="M3" s="100"/>
      <c r="N3" t="s">
        <v>653</v>
      </c>
      <c r="R3" s="95" t="s">
        <v>709</v>
      </c>
      <c r="V3" s="97" t="s">
        <v>676</v>
      </c>
    </row>
    <row r="4" spans="1:23">
      <c r="C4" s="95" t="s">
        <v>179</v>
      </c>
      <c r="D4" s="95" t="s">
        <v>8</v>
      </c>
      <c r="G4" s="97" t="s">
        <v>648</v>
      </c>
      <c r="H4" s="98" t="s">
        <v>644</v>
      </c>
      <c r="I4" s="96"/>
      <c r="K4" s="97" t="s">
        <v>657</v>
      </c>
      <c r="L4" s="97" t="s">
        <v>661</v>
      </c>
      <c r="M4" s="100"/>
      <c r="N4" t="s">
        <v>653</v>
      </c>
      <c r="R4" s="95" t="s">
        <v>710</v>
      </c>
      <c r="V4" s="97" t="s">
        <v>307</v>
      </c>
    </row>
    <row r="5" spans="1:23">
      <c r="C5" s="95" t="s">
        <v>179</v>
      </c>
      <c r="D5" s="95" t="s">
        <v>634</v>
      </c>
      <c r="G5" s="97" t="s">
        <v>648</v>
      </c>
      <c r="H5" s="98" t="s">
        <v>645</v>
      </c>
      <c r="I5" s="96"/>
      <c r="K5" s="97"/>
      <c r="L5" s="97" t="s">
        <v>662</v>
      </c>
      <c r="M5" s="100"/>
      <c r="N5" t="s">
        <v>653</v>
      </c>
      <c r="R5" s="95" t="s">
        <v>711</v>
      </c>
      <c r="V5" s="97" t="s">
        <v>677</v>
      </c>
    </row>
    <row r="6" spans="1:23">
      <c r="C6" s="95"/>
      <c r="D6" s="95" t="s">
        <v>635</v>
      </c>
      <c r="G6" s="97" t="s">
        <v>648</v>
      </c>
      <c r="H6" s="98" t="s">
        <v>646</v>
      </c>
      <c r="I6" s="96"/>
      <c r="K6" s="97"/>
      <c r="L6" s="97" t="s">
        <v>663</v>
      </c>
      <c r="M6" s="100"/>
      <c r="R6" s="95" t="s">
        <v>712</v>
      </c>
    </row>
    <row r="7" spans="1:23">
      <c r="C7" s="95"/>
      <c r="D7" s="95" t="s">
        <v>636</v>
      </c>
      <c r="G7" s="97" t="s">
        <v>649</v>
      </c>
      <c r="H7" s="98" t="s">
        <v>108</v>
      </c>
      <c r="R7" s="95" t="s">
        <v>713</v>
      </c>
    </row>
    <row r="8" spans="1:23">
      <c r="D8" s="95" t="s">
        <v>708</v>
      </c>
      <c r="G8" s="97" t="s">
        <v>649</v>
      </c>
      <c r="H8" s="98" t="s">
        <v>300</v>
      </c>
    </row>
    <row r="9" spans="1:23">
      <c r="G9" s="97" t="s">
        <v>649</v>
      </c>
      <c r="H9" s="98" t="s">
        <v>650</v>
      </c>
    </row>
    <row r="10" spans="1:23">
      <c r="G10" s="97" t="s">
        <v>649</v>
      </c>
      <c r="H10" s="98" t="s">
        <v>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CD39-5BDE-49DF-9B5E-B0B89B7A690F}">
  <dimension ref="A1:D26"/>
  <sheetViews>
    <sheetView topLeftCell="A12" workbookViewId="0">
      <selection activeCell="C27" sqref="C27"/>
    </sheetView>
  </sheetViews>
  <sheetFormatPr defaultRowHeight="15"/>
  <cols>
    <col min="1" max="1" width="21.5703125" customWidth="1"/>
    <col min="3" max="3" width="35.42578125" bestFit="1" customWidth="1"/>
  </cols>
  <sheetData>
    <row r="1" spans="1:4" ht="23.25">
      <c r="A1" s="102" t="s">
        <v>678</v>
      </c>
      <c r="B1" s="102"/>
      <c r="C1" s="102"/>
    </row>
    <row r="3" spans="1:4">
      <c r="A3" s="101" t="s">
        <v>679</v>
      </c>
      <c r="B3" s="101"/>
      <c r="C3" s="101" t="s">
        <v>700</v>
      </c>
    </row>
    <row r="4" spans="1:4">
      <c r="A4" t="s">
        <v>688</v>
      </c>
      <c r="B4">
        <v>1</v>
      </c>
      <c r="C4" t="s">
        <v>680</v>
      </c>
      <c r="D4" t="s">
        <v>681</v>
      </c>
    </row>
    <row r="5" spans="1:4">
      <c r="A5" t="s">
        <v>688</v>
      </c>
      <c r="B5">
        <v>2</v>
      </c>
      <c r="C5" t="s">
        <v>682</v>
      </c>
      <c r="D5" t="s">
        <v>681</v>
      </c>
    </row>
    <row r="6" spans="1:4">
      <c r="A6" t="s">
        <v>688</v>
      </c>
      <c r="B6">
        <v>3</v>
      </c>
      <c r="C6" t="s">
        <v>683</v>
      </c>
      <c r="D6" t="s">
        <v>685</v>
      </c>
    </row>
    <row r="7" spans="1:4">
      <c r="A7" t="s">
        <v>688</v>
      </c>
      <c r="B7">
        <v>4</v>
      </c>
      <c r="C7" t="s">
        <v>684</v>
      </c>
      <c r="D7" t="s">
        <v>681</v>
      </c>
    </row>
    <row r="8" spans="1:4">
      <c r="A8" t="s">
        <v>688</v>
      </c>
      <c r="B8">
        <v>5</v>
      </c>
      <c r="C8" t="s">
        <v>686</v>
      </c>
      <c r="D8" t="s">
        <v>685</v>
      </c>
    </row>
    <row r="9" spans="1:4">
      <c r="A9" t="s">
        <v>688</v>
      </c>
      <c r="B9">
        <v>6</v>
      </c>
      <c r="C9" t="s">
        <v>687</v>
      </c>
      <c r="D9" t="s">
        <v>685</v>
      </c>
    </row>
    <row r="10" spans="1:4">
      <c r="A10" t="s">
        <v>688</v>
      </c>
      <c r="B10">
        <v>7</v>
      </c>
      <c r="C10" t="s">
        <v>689</v>
      </c>
      <c r="D10" t="s">
        <v>685</v>
      </c>
    </row>
    <row r="11" spans="1:4">
      <c r="A11" t="s">
        <v>688</v>
      </c>
      <c r="B11">
        <v>8</v>
      </c>
      <c r="C11" t="s">
        <v>693</v>
      </c>
      <c r="D11" t="s">
        <v>694</v>
      </c>
    </row>
    <row r="13" spans="1:4">
      <c r="A13" t="s">
        <v>690</v>
      </c>
      <c r="B13">
        <v>1</v>
      </c>
      <c r="C13" t="s">
        <v>691</v>
      </c>
      <c r="D13" t="s">
        <v>692</v>
      </c>
    </row>
    <row r="14" spans="1:4">
      <c r="B14">
        <v>2</v>
      </c>
      <c r="C14" t="s">
        <v>631</v>
      </c>
      <c r="D14" t="s">
        <v>692</v>
      </c>
    </row>
    <row r="15" spans="1:4">
      <c r="B15">
        <v>3</v>
      </c>
      <c r="C15" t="s">
        <v>695</v>
      </c>
      <c r="D15" t="s">
        <v>696</v>
      </c>
    </row>
    <row r="16" spans="1:4">
      <c r="B16">
        <v>4</v>
      </c>
      <c r="C16" t="s">
        <v>697</v>
      </c>
      <c r="D16" t="s">
        <v>698</v>
      </c>
    </row>
    <row r="17" spans="1:4">
      <c r="B17">
        <v>5</v>
      </c>
      <c r="C17" t="s">
        <v>647</v>
      </c>
      <c r="D17" t="s">
        <v>685</v>
      </c>
    </row>
    <row r="18" spans="1:4">
      <c r="B18">
        <v>6</v>
      </c>
      <c r="C18" t="s">
        <v>641</v>
      </c>
      <c r="D18" t="s">
        <v>685</v>
      </c>
    </row>
    <row r="19" spans="1:4">
      <c r="B19">
        <v>7</v>
      </c>
      <c r="C19" t="s">
        <v>699</v>
      </c>
      <c r="D19" t="s">
        <v>685</v>
      </c>
    </row>
    <row r="21" spans="1:4">
      <c r="A21" s="101" t="s">
        <v>701</v>
      </c>
      <c r="B21" s="101"/>
      <c r="C21" s="101" t="s">
        <v>702</v>
      </c>
    </row>
    <row r="22" spans="1:4">
      <c r="C22" t="s">
        <v>703</v>
      </c>
    </row>
    <row r="24" spans="1:4">
      <c r="A24" s="101" t="s">
        <v>704</v>
      </c>
      <c r="B24" s="101"/>
      <c r="C24" s="101" t="s">
        <v>705</v>
      </c>
    </row>
    <row r="25" spans="1:4">
      <c r="A25" t="s">
        <v>688</v>
      </c>
      <c r="B25">
        <v>1</v>
      </c>
      <c r="C25" t="s">
        <v>706</v>
      </c>
    </row>
    <row r="26" spans="1:4">
      <c r="B26">
        <v>2</v>
      </c>
      <c r="C26" t="s">
        <v>707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D719980E65BA4397344EF0684DE377" ma:contentTypeVersion="5" ma:contentTypeDescription="Create a new document." ma:contentTypeScope="" ma:versionID="8b6354c544f16ae88fc6a7cbf49983f5">
  <xsd:schema xmlns:xsd="http://www.w3.org/2001/XMLSchema" xmlns:xs="http://www.w3.org/2001/XMLSchema" xmlns:p="http://schemas.microsoft.com/office/2006/metadata/properties" xmlns:ns3="f59a7014-2391-4436-867d-110540acbf53" xmlns:ns4="81a67a72-ace9-4606-9955-b43b97933714" targetNamespace="http://schemas.microsoft.com/office/2006/metadata/properties" ma:root="true" ma:fieldsID="b98cdbcb8f7777677eb8cd5c681e1258" ns3:_="" ns4:_="">
    <xsd:import namespace="f59a7014-2391-4436-867d-110540acbf53"/>
    <xsd:import namespace="81a67a72-ace9-4606-9955-b43b979337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a7014-2391-4436-867d-110540acb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67a72-ace9-4606-9955-b43b979337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C286CA-3E21-46CF-B05F-ADE236E27E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9a7014-2391-4436-867d-110540acbf53"/>
    <ds:schemaRef ds:uri="81a67a72-ace9-4606-9955-b43b97933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A83643-411C-4D5B-8971-F423EA8633BF}">
  <ds:schemaRefs>
    <ds:schemaRef ds:uri="http://schemas.microsoft.com/office/infopath/2007/PartnerControls"/>
    <ds:schemaRef ds:uri="81a67a72-ace9-4606-9955-b43b97933714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f59a7014-2391-4436-867d-110540acbf53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25DEB25-527F-4CC6-A215-267335265F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Updates - Excel File</vt:lpstr>
      <vt:lpstr>Updates - Power Bi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RAHUL.PATIL</dc:creator>
  <cp:lastModifiedBy>HP</cp:lastModifiedBy>
  <dcterms:created xsi:type="dcterms:W3CDTF">2021-04-25T10:55:15Z</dcterms:created>
  <dcterms:modified xsi:type="dcterms:W3CDTF">2026-01-26T14:02:33Z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0x0101000DD719980E65BA4397344EF0684DE377</vt:lpwstr>
  </property>
</Properties>
</file>